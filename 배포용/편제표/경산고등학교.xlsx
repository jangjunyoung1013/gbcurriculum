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 교육과정부\교육과정표\정신상그라워서 정리한 교육과정표\"/>
    </mc:Choice>
  </mc:AlternateContent>
  <xr:revisionPtr revIDLastSave="0" documentId="13_ncr:1_{02905F68-9C96-4952-A0F4-31E0C39E72A1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최종" sheetId="25" r:id="rId1"/>
  </sheets>
  <definedNames>
    <definedName name="_xlnm.Print_Area" localSheetId="0">최종!$A$1:$O$70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25" l="1"/>
  <c r="H69" i="25"/>
  <c r="N68" i="25"/>
  <c r="L67" i="25"/>
  <c r="L69" i="25" s="1"/>
  <c r="K67" i="25"/>
  <c r="K69" i="25" s="1"/>
  <c r="J69" i="25"/>
  <c r="O39" i="25"/>
  <c r="M39" i="25"/>
  <c r="M67" i="25" s="1"/>
  <c r="M69" i="25" s="1"/>
  <c r="L39" i="25"/>
  <c r="K39" i="25"/>
  <c r="J39" i="25"/>
  <c r="N29" i="25"/>
  <c r="N25" i="25"/>
  <c r="N23" i="25"/>
  <c r="N21" i="25"/>
  <c r="N16" i="25"/>
  <c r="N11" i="25"/>
  <c r="N6" i="25"/>
  <c r="H70" i="25" l="1"/>
  <c r="L70" i="25"/>
  <c r="N39" i="25"/>
  <c r="J70" i="25"/>
  <c r="N69" i="25"/>
  <c r="N67" i="25"/>
  <c r="N70" i="25" l="1"/>
</calcChain>
</file>

<file path=xl/sharedStrings.xml><?xml version="1.0" encoding="utf-8"?>
<sst xmlns="http://schemas.openxmlformats.org/spreadsheetml/2006/main" count="181" uniqueCount="101">
  <si>
    <t>1학기</t>
  </si>
  <si>
    <t>수 학</t>
  </si>
  <si>
    <t>1학년</t>
  </si>
  <si>
    <t>2학기</t>
  </si>
  <si>
    <t>영 어</t>
  </si>
  <si>
    <t>체 육</t>
  </si>
  <si>
    <t>사 회</t>
  </si>
  <si>
    <t>과 학</t>
  </si>
  <si>
    <t>구분</t>
  </si>
  <si>
    <t>한국사</t>
  </si>
  <si>
    <t>예 술</t>
  </si>
  <si>
    <t>국 어</t>
  </si>
  <si>
    <t>3학년</t>
  </si>
  <si>
    <t>2학년</t>
  </si>
  <si>
    <t>학생선택</t>
  </si>
  <si>
    <t>학교지정</t>
  </si>
  <si>
    <t>교과(군)</t>
  </si>
  <si>
    <t>창의적 체험활동</t>
  </si>
  <si>
    <t>과목유형</t>
    <phoneticPr fontId="8" type="noConversion"/>
  </si>
  <si>
    <t>선택</t>
    <phoneticPr fontId="8" type="noConversion"/>
  </si>
  <si>
    <t>과목</t>
    <phoneticPr fontId="8" type="noConversion"/>
  </si>
  <si>
    <t>지정</t>
    <phoneticPr fontId="8" type="noConversion"/>
  </si>
  <si>
    <t>기준
학점</t>
    <phoneticPr fontId="8" type="noConversion"/>
  </si>
  <si>
    <t>운영
학점</t>
    <phoneticPr fontId="8" type="noConversion"/>
  </si>
  <si>
    <t>이수
학점</t>
    <phoneticPr fontId="8" type="noConversion"/>
  </si>
  <si>
    <t>필수
학점</t>
    <phoneticPr fontId="8" type="noConversion"/>
  </si>
  <si>
    <t>학기별 총 이수 학점</t>
    <phoneticPr fontId="8" type="noConversion"/>
  </si>
  <si>
    <t>학년별 총 이수 학점</t>
    <phoneticPr fontId="8" type="noConversion"/>
  </si>
  <si>
    <t>교과 이수 학점 소계</t>
    <phoneticPr fontId="8" type="noConversion"/>
  </si>
  <si>
    <t>학교유형: 자율고</t>
    <phoneticPr fontId="8" type="noConversion"/>
  </si>
  <si>
    <t>경산고등학교</t>
    <phoneticPr fontId="8" type="noConversion"/>
  </si>
  <si>
    <t>공통</t>
    <phoneticPr fontId="8" type="noConversion"/>
  </si>
  <si>
    <t>일반</t>
    <phoneticPr fontId="8" type="noConversion"/>
  </si>
  <si>
    <t>영어Ⅰ</t>
    <phoneticPr fontId="10" type="noConversion"/>
  </si>
  <si>
    <t>영어Ⅱ</t>
    <phoneticPr fontId="12" type="noConversion"/>
  </si>
  <si>
    <t>음악</t>
    <phoneticPr fontId="8" type="noConversion"/>
  </si>
  <si>
    <t>미술</t>
    <phoneticPr fontId="8" type="noConversion"/>
  </si>
  <si>
    <t>기술ㆍ가정</t>
    <phoneticPr fontId="8" type="noConversion"/>
  </si>
  <si>
    <t>정보</t>
    <phoneticPr fontId="8" type="noConversion"/>
  </si>
  <si>
    <t>진로</t>
    <phoneticPr fontId="8" type="noConversion"/>
  </si>
  <si>
    <t>공통국어1</t>
    <phoneticPr fontId="8" type="noConversion"/>
  </si>
  <si>
    <t>공통국어2</t>
    <phoneticPr fontId="8" type="noConversion"/>
  </si>
  <si>
    <t>문학</t>
    <phoneticPr fontId="8" type="noConversion"/>
  </si>
  <si>
    <t>공통수학1</t>
    <phoneticPr fontId="8" type="noConversion"/>
  </si>
  <si>
    <t>공통수학2</t>
    <phoneticPr fontId="8" type="noConversion"/>
  </si>
  <si>
    <t>대수</t>
    <phoneticPr fontId="8" type="noConversion"/>
  </si>
  <si>
    <t>미적분Ⅰ</t>
    <phoneticPr fontId="8" type="noConversion"/>
  </si>
  <si>
    <t>공통영어1</t>
    <phoneticPr fontId="10" type="noConversion"/>
  </si>
  <si>
    <t>공통영어2</t>
    <phoneticPr fontId="8" type="noConversion"/>
  </si>
  <si>
    <t>한국사1</t>
    <phoneticPr fontId="8" type="noConversion"/>
  </si>
  <si>
    <t>한국사2</t>
    <phoneticPr fontId="8" type="noConversion"/>
  </si>
  <si>
    <t>통합사회1</t>
    <phoneticPr fontId="8" type="noConversion"/>
  </si>
  <si>
    <t>통합사회2</t>
    <phoneticPr fontId="8" type="noConversion"/>
  </si>
  <si>
    <t>통합과학1</t>
    <phoneticPr fontId="8" type="noConversion"/>
  </si>
  <si>
    <t>통합과학2</t>
    <phoneticPr fontId="8" type="noConversion"/>
  </si>
  <si>
    <t>과학탐구실험1</t>
    <phoneticPr fontId="8" type="noConversion"/>
  </si>
  <si>
    <t>과학탐구실험2</t>
    <phoneticPr fontId="8" type="noConversion"/>
  </si>
  <si>
    <t>체육1</t>
    <phoneticPr fontId="8" type="noConversion"/>
  </si>
  <si>
    <t>체육2</t>
    <phoneticPr fontId="8" type="noConversion"/>
  </si>
  <si>
    <t>융합</t>
    <phoneticPr fontId="8" type="noConversion"/>
  </si>
  <si>
    <t>택1</t>
    <phoneticPr fontId="8" type="noConversion"/>
  </si>
  <si>
    <t>택2</t>
    <phoneticPr fontId="8" type="noConversion"/>
  </si>
  <si>
    <t>예술</t>
    <phoneticPr fontId="8" type="noConversion"/>
  </si>
  <si>
    <t>택3</t>
    <phoneticPr fontId="8" type="noConversion"/>
  </si>
  <si>
    <t>이수 학점 소계</t>
    <phoneticPr fontId="8" type="noConversion"/>
  </si>
  <si>
    <t>기술∙가정/
정보</t>
    <phoneticPr fontId="8" type="noConversion"/>
  </si>
  <si>
    <t>음악 연주와 창작 / 미술 창작</t>
    <phoneticPr fontId="8" type="noConversion"/>
  </si>
  <si>
    <t>택4</t>
    <phoneticPr fontId="8" type="noConversion"/>
  </si>
  <si>
    <t>국어/수학/영어</t>
    <phoneticPr fontId="8" type="noConversion"/>
  </si>
  <si>
    <t>10
(자공고 5 가능)</t>
    <phoneticPr fontId="8" type="noConversion"/>
  </si>
  <si>
    <t>16
(자공고12가능)</t>
    <phoneticPr fontId="8" type="noConversion"/>
  </si>
  <si>
    <t>사회/
과학/
기술·가정/
정보/
제2외국어</t>
    <phoneticPr fontId="8" type="noConversion"/>
  </si>
  <si>
    <r>
      <t>진로/</t>
    </r>
    <r>
      <rPr>
        <sz val="9"/>
        <color rgb="FF0070C0"/>
        <rFont val="맑은 고딕"/>
        <family val="3"/>
        <charset val="129"/>
      </rPr>
      <t>융합</t>
    </r>
    <phoneticPr fontId="8" type="noConversion"/>
  </si>
  <si>
    <t>국어/
수학/
영어/</t>
    <phoneticPr fontId="8" type="noConversion"/>
  </si>
  <si>
    <t>택3</t>
    <phoneticPr fontId="8" type="noConversion"/>
  </si>
  <si>
    <t>사회/
과학/
기술·가정/
정보</t>
    <phoneticPr fontId="8" type="noConversion"/>
  </si>
  <si>
    <r>
      <rPr>
        <sz val="10"/>
        <color theme="7"/>
        <rFont val="맑은 고딕"/>
        <family val="3"/>
        <charset val="129"/>
      </rPr>
      <t>금융과 경제생활 / 여행지리
과학의 역사와 문화/ 기후변화와 환경생태</t>
    </r>
    <r>
      <rPr>
        <sz val="10"/>
        <color rgb="FF000000"/>
        <rFont val="맑은 고딕"/>
        <family val="3"/>
        <charset val="129"/>
      </rPr>
      <t xml:space="preserve">
</t>
    </r>
    <r>
      <rPr>
        <sz val="10"/>
        <color rgb="FF0070C0"/>
        <rFont val="맑은 고딕"/>
        <family val="3"/>
        <charset val="129"/>
      </rPr>
      <t>소프트웨어와 생활</t>
    </r>
    <r>
      <rPr>
        <sz val="10"/>
        <color rgb="FF000000"/>
        <rFont val="맑은 고딕"/>
        <family val="3"/>
        <charset val="129"/>
      </rPr>
      <t>/
일본어 회화</t>
    </r>
    <phoneticPr fontId="8" type="noConversion"/>
  </si>
  <si>
    <t>사회/
과학/
정보/
제2외국어</t>
    <phoneticPr fontId="8" type="noConversion"/>
  </si>
  <si>
    <t>음악 감상과 비평 / 미술감상과 비평
생태와 환경 / 인간과 철학 / 인간과 경제활동 / 논술</t>
    <phoneticPr fontId="8" type="noConversion"/>
  </si>
  <si>
    <t>예술/
교양</t>
    <phoneticPr fontId="8" type="noConversion"/>
  </si>
  <si>
    <t>사회/
과학/
기술·가정/
제2외국어</t>
    <phoneticPr fontId="8" type="noConversion"/>
  </si>
  <si>
    <r>
      <t xml:space="preserve">세계시민과 지리/세계사/사회와 문화/현대사회와 윤리/
물리학/화학/생명과학/지구과학/
</t>
    </r>
    <r>
      <rPr>
        <sz val="10"/>
        <color theme="3" tint="0.39997558519241921"/>
        <rFont val="맑은 고딕"/>
        <family val="3"/>
        <charset val="129"/>
      </rPr>
      <t>로봇과 공학세계/</t>
    </r>
    <r>
      <rPr>
        <sz val="10"/>
        <color rgb="FF000000"/>
        <rFont val="맑은 고딕"/>
        <family val="3"/>
        <charset val="129"/>
      </rPr>
      <t xml:space="preserve">
일본어/중국어</t>
    </r>
    <phoneticPr fontId="8" type="noConversion"/>
  </si>
  <si>
    <r>
      <t>일반/</t>
    </r>
    <r>
      <rPr>
        <sz val="9"/>
        <color theme="3" tint="0.39997558519241921"/>
        <rFont val="맑은 고딕"/>
        <family val="3"/>
        <charset val="129"/>
      </rPr>
      <t>진로</t>
    </r>
    <phoneticPr fontId="8" type="noConversion"/>
  </si>
  <si>
    <t>교양</t>
    <phoneticPr fontId="8" type="noConversion"/>
  </si>
  <si>
    <t xml:space="preserve"> 주제 탐구(R&amp;E) 기초</t>
    <phoneticPr fontId="8" type="noConversion"/>
  </si>
  <si>
    <t>[붙임1] 2026학년도 입학생 3개년 교육과정 편성표(지역기반융합탐구 교육과정)</t>
    <phoneticPr fontId="8" type="noConversion"/>
  </si>
  <si>
    <t>자율형 공립고 2.0 지역기반융합탐구 
교육과정</t>
    <phoneticPr fontId="8" type="noConversion"/>
  </si>
  <si>
    <t xml:space="preserve"> 학문의 기초와 융합</t>
    <phoneticPr fontId="8" type="noConversion"/>
  </si>
  <si>
    <t>화법과 언어</t>
    <phoneticPr fontId="8" type="noConversion"/>
  </si>
  <si>
    <t>독서와 작문</t>
    <phoneticPr fontId="8" type="noConversion"/>
  </si>
  <si>
    <t>문학과 영상/미적분Ⅱ/심화 영어 독해와 작문</t>
    <phoneticPr fontId="8" type="noConversion"/>
  </si>
  <si>
    <t>확률과 통계</t>
    <phoneticPr fontId="8" type="noConversion"/>
  </si>
  <si>
    <t>영어 독해와 작문</t>
    <phoneticPr fontId="8" type="noConversion"/>
  </si>
  <si>
    <r>
      <rPr>
        <sz val="10"/>
        <color rgb="FF0070C0"/>
        <rFont val="맑은 고딕"/>
        <family val="3"/>
        <charset val="129"/>
      </rPr>
      <t>독서 토론과 글쓰기/언어생활 탐구</t>
    </r>
    <r>
      <rPr>
        <sz val="10"/>
        <color rgb="FF000000"/>
        <rFont val="맑은 고딕"/>
        <family val="3"/>
        <charset val="129"/>
      </rPr>
      <t xml:space="preserve">
</t>
    </r>
    <r>
      <rPr>
        <sz val="10"/>
        <color rgb="FF0070C0"/>
        <rFont val="맑은 고딕"/>
        <family val="3"/>
        <charset val="129"/>
      </rPr>
      <t>수학과제 탐구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FF0000"/>
        <rFont val="맑은 고딕"/>
        <family val="3"/>
        <charset val="129"/>
      </rPr>
      <t>전문수학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70C0"/>
        <rFont val="맑은 고딕"/>
        <family val="3"/>
        <charset val="129"/>
      </rPr>
      <t>실용 통계</t>
    </r>
    <r>
      <rPr>
        <sz val="10"/>
        <color rgb="FF000000"/>
        <rFont val="맑은 고딕"/>
        <family val="3"/>
        <charset val="129"/>
      </rPr>
      <t xml:space="preserve">
영미 문학 읽기 / </t>
    </r>
    <r>
      <rPr>
        <sz val="10"/>
        <color theme="4"/>
        <rFont val="맑은 고딕"/>
        <family val="3"/>
        <charset val="129"/>
      </rPr>
      <t>세계 문화와 영어</t>
    </r>
    <phoneticPr fontId="8" type="noConversion"/>
  </si>
  <si>
    <t>주제 탐구 독서/
기하/경제 수학/인공지능 수학
심화 영어/</t>
    <phoneticPr fontId="8" type="noConversion"/>
  </si>
  <si>
    <r>
      <t>윤리와 사상/정치/역사로 탐구하는 현대 세계(융)/
도시의 미래 탐구/</t>
    </r>
    <r>
      <rPr>
        <sz val="10"/>
        <color theme="7"/>
        <rFont val="맑은 고딕"/>
        <family val="3"/>
        <charset val="129"/>
      </rPr>
      <t>사회문제탐구</t>
    </r>
    <r>
      <rPr>
        <sz val="10"/>
        <color rgb="FF0070C0"/>
        <rFont val="맑은 고딕"/>
        <family val="3"/>
        <charset val="129"/>
      </rPr>
      <t xml:space="preserve"> /
</t>
    </r>
    <r>
      <rPr>
        <sz val="10"/>
        <color rgb="FF000000"/>
        <rFont val="맑은 고딕"/>
        <family val="3"/>
        <charset val="129"/>
      </rPr>
      <t xml:space="preserve">전자기와 양자/화학 반응의 세계/생물의 유전/행성우주과학/ </t>
    </r>
    <r>
      <rPr>
        <sz val="10"/>
        <color theme="7"/>
        <rFont val="맑은 고딕"/>
        <family val="3"/>
        <charset val="129"/>
      </rPr>
      <t xml:space="preserve">융합과학 탐구/
</t>
    </r>
    <r>
      <rPr>
        <sz val="10"/>
        <color theme="4"/>
        <rFont val="맑은 고딕"/>
        <family val="3"/>
        <charset val="129"/>
      </rPr>
      <t>창의 공학 설계/
데이터 과학</t>
    </r>
    <phoneticPr fontId="8" type="noConversion"/>
  </si>
  <si>
    <t>운동과 건강</t>
    <phoneticPr fontId="8" type="noConversion"/>
  </si>
  <si>
    <t>스포츠 문화</t>
    <phoneticPr fontId="8" type="noConversion"/>
  </si>
  <si>
    <t>스포츠 과학</t>
    <phoneticPr fontId="8" type="noConversion"/>
  </si>
  <si>
    <t>스포츠 생활1</t>
    <phoneticPr fontId="8" type="noConversion"/>
  </si>
  <si>
    <r>
      <t xml:space="preserve">한국지리 탐구/인문학과 윤리/동아시아 역사 기행/법과 사회/경제/
역학과 에너지 / 물질과 에너지 / 세포와 물질대사 / 지구시스템과학/
인공지능 기초/
</t>
    </r>
    <r>
      <rPr>
        <sz val="10"/>
        <color rgb="FF0070C0"/>
        <rFont val="맑은 고딕"/>
        <family val="3"/>
        <charset val="129"/>
      </rPr>
      <t>일본 문화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</si>
</sst>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4" x14ac:knownFonts="1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name val="맑은 고딕"/>
      <family val="3"/>
      <charset val="129"/>
    </font>
    <font>
      <sz val="9"/>
      <color rgb="FF0070C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0"/>
      <color theme="7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4"/>
      <name val="맑은 고딕"/>
      <family val="3"/>
      <charset val="129"/>
    </font>
    <font>
      <sz val="10"/>
      <color theme="3" tint="0.39997558519241921"/>
      <name val="맑은 고딕"/>
      <family val="3"/>
      <charset val="129"/>
    </font>
    <font>
      <sz val="9"/>
      <color theme="3" tint="0.39997558519241921"/>
      <name val="맑은 고딕"/>
      <family val="3"/>
      <charset val="129"/>
    </font>
    <font>
      <b/>
      <sz val="10"/>
      <color theme="3" tint="0.3999755851924192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>
      <alignment vertical="center"/>
    </xf>
  </cellStyleXfs>
  <cellXfs count="141">
    <xf numFmtId="0" fontId="0" fillId="0" borderId="0" xfId="0" applyNumberFormat="1"/>
    <xf numFmtId="176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/>
    </xf>
    <xf numFmtId="177" fontId="11" fillId="0" borderId="1" xfId="2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>
      <alignment horizontal="center"/>
    </xf>
    <xf numFmtId="177" fontId="11" fillId="0" borderId="1" xfId="2" applyNumberFormat="1" applyFont="1" applyBorder="1" applyAlignment="1" applyProtection="1">
      <alignment horizontal="center" vertical="center" shrinkToFit="1"/>
      <protection locked="0"/>
    </xf>
    <xf numFmtId="177" fontId="7" fillId="0" borderId="2" xfId="0" applyNumberFormat="1" applyFont="1" applyFill="1" applyBorder="1" applyAlignment="1" applyProtection="1">
      <alignment horizontal="center" vertical="center"/>
    </xf>
    <xf numFmtId="177" fontId="7" fillId="0" borderId="1" xfId="0" applyNumberFormat="1" applyFont="1" applyFill="1" applyBorder="1" applyAlignment="1" applyProtection="1">
      <alignment horizontal="center" vertical="center"/>
    </xf>
    <xf numFmtId="177" fontId="7" fillId="0" borderId="1" xfId="0" applyNumberFormat="1" applyFont="1" applyFill="1" applyBorder="1" applyAlignment="1" applyProtection="1">
      <alignment horizontal="center" vertical="center" wrapText="1"/>
    </xf>
    <xf numFmtId="177" fontId="7" fillId="0" borderId="1" xfId="0" quotePrefix="1" applyNumberFormat="1" applyFont="1" applyFill="1" applyBorder="1" applyAlignment="1" applyProtection="1">
      <alignment horizontal="center" vertical="center"/>
    </xf>
    <xf numFmtId="177" fontId="7" fillId="0" borderId="5" xfId="0" applyNumberFormat="1" applyFont="1" applyFill="1" applyBorder="1" applyAlignment="1" applyProtection="1">
      <alignment horizontal="center" vertical="center"/>
    </xf>
    <xf numFmtId="177" fontId="7" fillId="0" borderId="17" xfId="0" applyNumberFormat="1" applyFont="1" applyFill="1" applyBorder="1" applyAlignment="1" applyProtection="1">
      <alignment horizontal="center" vertical="center"/>
    </xf>
    <xf numFmtId="176" fontId="7" fillId="0" borderId="5" xfId="0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Alignment="1">
      <alignment horizontal="center"/>
    </xf>
    <xf numFmtId="177" fontId="7" fillId="0" borderId="18" xfId="0" applyNumberFormat="1" applyFont="1" applyFill="1" applyBorder="1" applyAlignment="1" applyProtection="1">
      <alignment horizontal="center" vertical="center"/>
    </xf>
    <xf numFmtId="176" fontId="7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4" fillId="0" borderId="14" xfId="0" applyNumberFormat="1" applyFont="1" applyFill="1" applyBorder="1" applyAlignment="1" applyProtection="1">
      <alignment horizontal="center" vertical="center"/>
    </xf>
    <xf numFmtId="0" fontId="7" fillId="0" borderId="17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9" xfId="0" applyNumberFormat="1" applyFont="1" applyFill="1" applyBorder="1" applyAlignment="1" applyProtection="1">
      <alignment horizontal="center" vertical="center" wrapText="1"/>
    </xf>
    <xf numFmtId="177" fontId="7" fillId="0" borderId="7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 shrinkToFit="1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0" borderId="18" xfId="0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/>
    </xf>
    <xf numFmtId="177" fontId="7" fillId="0" borderId="7" xfId="0" applyNumberFormat="1" applyFont="1" applyFill="1" applyBorder="1" applyAlignment="1" applyProtection="1">
      <alignment horizontal="center" vertical="center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 shrinkToFi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/>
    </xf>
    <xf numFmtId="177" fontId="7" fillId="0" borderId="7" xfId="0" applyNumberFormat="1" applyFont="1" applyFill="1" applyBorder="1" applyAlignment="1" applyProtection="1">
      <alignment horizontal="center" vertical="center"/>
    </xf>
    <xf numFmtId="0" fontId="7" fillId="0" borderId="16" xfId="0" applyNumberFormat="1" applyFont="1" applyFill="1" applyBorder="1" applyAlignment="1" applyProtection="1">
      <alignment horizontal="center" vertical="center" wrapText="1"/>
    </xf>
    <xf numFmtId="0" fontId="7" fillId="0" borderId="9" xfId="0" applyNumberFormat="1" applyFont="1" applyFill="1" applyBorder="1" applyAlignment="1" applyProtection="1">
      <alignment horizontal="center" vertical="center" wrapText="1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0" fontId="13" fillId="4" borderId="1" xfId="0" applyNumberFormat="1" applyFont="1" applyFill="1" applyBorder="1" applyAlignment="1" applyProtection="1">
      <alignment horizontal="center" vertical="center" wrapText="1"/>
    </xf>
    <xf numFmtId="177" fontId="13" fillId="4" borderId="1" xfId="0" applyNumberFormat="1" applyFont="1" applyFill="1" applyBorder="1" applyAlignment="1" applyProtection="1">
      <alignment horizontal="center" vertical="center"/>
    </xf>
    <xf numFmtId="0" fontId="5" fillId="4" borderId="5" xfId="0" applyNumberFormat="1" applyFont="1" applyFill="1" applyBorder="1" applyAlignment="1" applyProtection="1">
      <alignment horizontal="center" vertical="center" wrapText="1"/>
    </xf>
    <xf numFmtId="0" fontId="13" fillId="4" borderId="5" xfId="0" applyNumberFormat="1" applyFont="1" applyFill="1" applyBorder="1" applyAlignment="1" applyProtection="1">
      <alignment horizontal="center" vertical="center" wrapText="1"/>
    </xf>
    <xf numFmtId="177" fontId="13" fillId="4" borderId="5" xfId="0" applyNumberFormat="1" applyFont="1" applyFill="1" applyBorder="1" applyAlignment="1" applyProtection="1">
      <alignment horizontal="center" vertical="center"/>
    </xf>
    <xf numFmtId="0" fontId="7" fillId="0" borderId="34" xfId="0" applyNumberFormat="1" applyFont="1" applyFill="1" applyBorder="1" applyAlignment="1" applyProtection="1">
      <alignment horizontal="center" vertical="center" shrinkToFit="1"/>
    </xf>
    <xf numFmtId="0" fontId="7" fillId="0" borderId="35" xfId="0" applyNumberFormat="1" applyFont="1" applyFill="1" applyBorder="1" applyAlignment="1" applyProtection="1">
      <alignment horizontal="center" vertical="center" shrinkToFit="1"/>
    </xf>
    <xf numFmtId="0" fontId="7" fillId="0" borderId="36" xfId="0" applyNumberFormat="1" applyFont="1" applyFill="1" applyBorder="1" applyAlignment="1" applyProtection="1">
      <alignment horizontal="center" vertical="center" shrinkToFit="1"/>
    </xf>
    <xf numFmtId="0" fontId="15" fillId="0" borderId="7" xfId="0" applyNumberFormat="1" applyFont="1" applyFill="1" applyBorder="1" applyAlignment="1" applyProtection="1">
      <alignment horizontal="center" vertical="center" shrinkToFit="1"/>
    </xf>
    <xf numFmtId="0" fontId="15" fillId="0" borderId="20" xfId="0" applyNumberFormat="1" applyFont="1" applyFill="1" applyBorder="1" applyAlignment="1" applyProtection="1">
      <alignment horizontal="center" vertical="center" shrinkToFit="1"/>
    </xf>
    <xf numFmtId="0" fontId="15" fillId="0" borderId="17" xfId="0" applyNumberFormat="1" applyFont="1" applyFill="1" applyBorder="1" applyAlignment="1" applyProtection="1">
      <alignment horizontal="center" vertical="center" shrinkToFit="1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7" fillId="0" borderId="20" xfId="0" applyNumberFormat="1" applyFont="1" applyFill="1" applyBorder="1" applyAlignment="1" applyProtection="1">
      <alignment horizontal="center" vertical="center"/>
    </xf>
    <xf numFmtId="0" fontId="7" fillId="0" borderId="17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 shrinkToFit="1"/>
    </xf>
    <xf numFmtId="0" fontId="7" fillId="0" borderId="17" xfId="0" applyNumberFormat="1" applyFont="1" applyFill="1" applyBorder="1" applyAlignment="1" applyProtection="1">
      <alignment horizontal="center" vertical="center" shrinkToFit="1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5" fillId="3" borderId="7" xfId="0" applyNumberFormat="1" applyFont="1" applyFill="1" applyBorder="1" applyAlignment="1" applyProtection="1">
      <alignment horizontal="center" vertical="center"/>
    </xf>
    <xf numFmtId="0" fontId="5" fillId="3" borderId="11" xfId="0" applyNumberFormat="1" applyFont="1" applyFill="1" applyBorder="1" applyAlignment="1" applyProtection="1">
      <alignment horizontal="center" vertical="center" wrapText="1"/>
    </xf>
    <xf numFmtId="0" fontId="5" fillId="3" borderId="9" xfId="0" applyNumberFormat="1" applyFont="1" applyFill="1" applyBorder="1" applyAlignment="1" applyProtection="1">
      <alignment horizontal="center" vertical="center"/>
    </xf>
    <xf numFmtId="0" fontId="5" fillId="3" borderId="10" xfId="0" applyNumberFormat="1" applyFont="1" applyFill="1" applyBorder="1" applyAlignment="1" applyProtection="1">
      <alignment horizontal="center" vertical="center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7" fillId="0" borderId="16" xfId="0" applyNumberFormat="1" applyFont="1" applyFill="1" applyBorder="1" applyAlignment="1" applyProtection="1">
      <alignment horizontal="center" vertical="center" wrapText="1"/>
    </xf>
    <xf numFmtId="0" fontId="7" fillId="0" borderId="18" xfId="0" applyNumberFormat="1" applyFont="1" applyFill="1" applyBorder="1" applyAlignment="1" applyProtection="1">
      <alignment horizontal="center" vertical="center"/>
    </xf>
    <xf numFmtId="0" fontId="7" fillId="0" borderId="19" xfId="0" applyNumberFormat="1" applyFont="1" applyFill="1" applyBorder="1" applyAlignment="1" applyProtection="1">
      <alignment horizontal="center" vertical="center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7" fillId="0" borderId="9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 applyProtection="1">
      <alignment horizontal="center" vertical="center"/>
    </xf>
    <xf numFmtId="0" fontId="3" fillId="0" borderId="23" xfId="0" applyNumberFormat="1" applyFont="1" applyFill="1" applyBorder="1" applyAlignment="1" applyProtection="1">
      <alignment horizontal="center" vertical="center"/>
    </xf>
    <xf numFmtId="0" fontId="3" fillId="0" borderId="24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left" vertical="center"/>
    </xf>
    <xf numFmtId="0" fontId="4" fillId="0" borderId="14" xfId="0" applyNumberFormat="1" applyFont="1" applyFill="1" applyBorder="1" applyAlignment="1" applyProtection="1">
      <alignment horizontal="left" vertical="center"/>
    </xf>
    <xf numFmtId="0" fontId="4" fillId="0" borderId="14" xfId="0" applyNumberFormat="1" applyFont="1" applyFill="1" applyBorder="1" applyAlignment="1" applyProtection="1">
      <alignment horizontal="right" vertical="center"/>
    </xf>
    <xf numFmtId="0" fontId="4" fillId="0" borderId="21" xfId="0" applyNumberFormat="1" applyFont="1" applyFill="1" applyBorder="1" applyAlignment="1" applyProtection="1">
      <alignment horizontal="right" vertical="center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5" fillId="3" borderId="3" xfId="0" applyNumberFormat="1" applyFont="1" applyFill="1" applyBorder="1" applyAlignment="1" applyProtection="1">
      <alignment horizontal="center" vertical="center"/>
    </xf>
    <xf numFmtId="0" fontId="5" fillId="3" borderId="8" xfId="0" applyNumberFormat="1" applyFont="1" applyFill="1" applyBorder="1" applyAlignment="1" applyProtection="1">
      <alignment horizontal="center" vertical="center"/>
    </xf>
    <xf numFmtId="0" fontId="13" fillId="3" borderId="2" xfId="0" applyNumberFormat="1" applyFont="1" applyFill="1" applyBorder="1" applyAlignment="1" applyProtection="1">
      <alignment horizontal="center" vertical="center"/>
    </xf>
    <xf numFmtId="0" fontId="13" fillId="3" borderId="1" xfId="0" applyNumberFormat="1" applyFont="1" applyFill="1" applyBorder="1" applyAlignment="1" applyProtection="1">
      <alignment horizontal="center" vertical="center"/>
    </xf>
    <xf numFmtId="0" fontId="13" fillId="3" borderId="7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7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177" fontId="7" fillId="0" borderId="7" xfId="0" applyNumberFormat="1" applyFont="1" applyFill="1" applyBorder="1" applyAlignment="1" applyProtection="1">
      <alignment horizontal="center" vertical="center"/>
    </xf>
    <xf numFmtId="0" fontId="7" fillId="2" borderId="9" xfId="0" applyNumberFormat="1" applyFont="1" applyFill="1" applyBorder="1" applyAlignment="1" applyProtection="1">
      <alignment horizontal="center" vertical="center" wrapText="1"/>
    </xf>
    <xf numFmtId="0" fontId="7" fillId="2" borderId="9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7" fillId="0" borderId="20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7" fillId="2" borderId="10" xfId="0" applyNumberFormat="1" applyFont="1" applyFill="1" applyBorder="1" applyAlignment="1" applyProtection="1">
      <alignment horizontal="center" vertical="center" wrapText="1"/>
    </xf>
    <xf numFmtId="0" fontId="7" fillId="2" borderId="15" xfId="0" applyNumberFormat="1" applyFont="1" applyFill="1" applyBorder="1" applyAlignment="1" applyProtection="1">
      <alignment horizontal="center" vertical="center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28" xfId="0" applyNumberFormat="1" applyFont="1" applyFill="1" applyBorder="1" applyAlignment="1" applyProtection="1">
      <alignment horizontal="center" vertical="center" wrapText="1"/>
    </xf>
    <xf numFmtId="0" fontId="7" fillId="0" borderId="18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0" fontId="5" fillId="4" borderId="5" xfId="0" applyNumberFormat="1" applyFont="1" applyFill="1" applyBorder="1" applyAlignment="1" applyProtection="1">
      <alignment horizontal="center" vertical="center" wrapText="1"/>
    </xf>
    <xf numFmtId="0" fontId="23" fillId="4" borderId="1" xfId="0" applyNumberFormat="1" applyFont="1" applyFill="1" applyBorder="1" applyAlignment="1" applyProtection="1">
      <alignment horizontal="center" vertical="center" wrapText="1"/>
    </xf>
    <xf numFmtId="0" fontId="23" fillId="4" borderId="5" xfId="0" applyNumberFormat="1" applyFont="1" applyFill="1" applyBorder="1" applyAlignment="1" applyProtection="1">
      <alignment horizontal="center" vertical="center" wrapText="1"/>
    </xf>
    <xf numFmtId="0" fontId="13" fillId="4" borderId="20" xfId="0" applyNumberFormat="1" applyFont="1" applyFill="1" applyBorder="1" applyAlignment="1" applyProtection="1">
      <alignment horizontal="center" vertical="center"/>
    </xf>
    <xf numFmtId="0" fontId="13" fillId="4" borderId="33" xfId="0" applyNumberFormat="1" applyFont="1" applyFill="1" applyBorder="1" applyAlignment="1" applyProtection="1">
      <alignment horizontal="center" vertical="center"/>
    </xf>
    <xf numFmtId="0" fontId="13" fillId="4" borderId="15" xfId="0" applyNumberFormat="1" applyFont="1" applyFill="1" applyBorder="1" applyAlignment="1" applyProtection="1">
      <alignment horizontal="center" vertical="center" wrapText="1"/>
    </xf>
    <xf numFmtId="0" fontId="13" fillId="4" borderId="38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horizontal="center" vertical="center" wrapText="1"/>
    </xf>
    <xf numFmtId="0" fontId="7" fillId="0" borderId="20" xfId="0" applyNumberFormat="1" applyFont="1" applyFill="1" applyBorder="1" applyAlignment="1" applyProtection="1">
      <alignment horizontal="center" vertical="center" shrinkToFi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 shrinkToFit="1"/>
    </xf>
    <xf numFmtId="0" fontId="2" fillId="0" borderId="20" xfId="0" applyNumberFormat="1" applyFont="1" applyFill="1" applyBorder="1" applyAlignment="1" applyProtection="1">
      <alignment horizontal="center" vertical="center" wrapText="1" shrinkToFit="1"/>
    </xf>
    <xf numFmtId="0" fontId="2" fillId="0" borderId="37" xfId="0" applyNumberFormat="1" applyFont="1" applyFill="1" applyBorder="1" applyAlignment="1" applyProtection="1">
      <alignment horizontal="center" vertical="center" wrapText="1"/>
    </xf>
    <xf numFmtId="0" fontId="2" fillId="0" borderId="39" xfId="0" applyNumberFormat="1" applyFont="1" applyFill="1" applyBorder="1" applyAlignment="1" applyProtection="1">
      <alignment horizontal="center" vertical="center" wrapText="1"/>
    </xf>
    <xf numFmtId="0" fontId="17" fillId="0" borderId="7" xfId="0" applyNumberFormat="1" applyFont="1" applyFill="1" applyBorder="1" applyAlignment="1" applyProtection="1">
      <alignment horizontal="center" vertical="center" wrapText="1" shrinkToFit="1"/>
    </xf>
    <xf numFmtId="0" fontId="17" fillId="0" borderId="33" xfId="0" applyNumberFormat="1" applyFont="1" applyFill="1" applyBorder="1" applyAlignment="1" applyProtection="1">
      <alignment horizontal="center" vertical="center" wrapText="1" shrinkToFit="1"/>
    </xf>
    <xf numFmtId="0" fontId="7" fillId="0" borderId="33" xfId="0" applyNumberFormat="1" applyFont="1" applyFill="1" applyBorder="1" applyAlignment="1" applyProtection="1">
      <alignment horizontal="center" vertical="center" shrinkToFit="1"/>
    </xf>
    <xf numFmtId="0" fontId="7" fillId="0" borderId="33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 shrinkToFit="1"/>
    </xf>
    <xf numFmtId="0" fontId="6" fillId="0" borderId="29" xfId="0" applyNumberFormat="1" applyFont="1" applyFill="1" applyBorder="1" applyAlignment="1" applyProtection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center" vertical="center" wrapText="1"/>
    </xf>
    <xf numFmtId="0" fontId="6" fillId="0" borderId="31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 wrapText="1" shrinkToFit="1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7" fillId="0" borderId="33" xfId="0" applyNumberFormat="1" applyFont="1" applyFill="1" applyBorder="1" applyAlignment="1" applyProtection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zoomScale="95" zoomScaleNormal="95" zoomScaleSheetLayoutView="120" workbookViewId="0">
      <pane xSplit="2" ySplit="5" topLeftCell="C48" activePane="bottomRight" state="frozen"/>
      <selection activeCell="C12" sqref="C12"/>
      <selection pane="topRight" activeCell="C12" sqref="C12"/>
      <selection pane="bottomLeft" activeCell="C12" sqref="C12"/>
      <selection pane="bottomRight" activeCell="S50" sqref="S50"/>
    </sheetView>
  </sheetViews>
  <sheetFormatPr defaultColWidth="8.88671875" defaultRowHeight="13.5" x14ac:dyDescent="0.15"/>
  <cols>
    <col min="1" max="1" width="3.5546875" style="18" customWidth="1"/>
    <col min="2" max="2" width="10.44140625" style="19" bestFit="1" customWidth="1"/>
    <col min="3" max="3" width="54.5546875" style="18" customWidth="1"/>
    <col min="4" max="4" width="7.77734375" style="18" customWidth="1"/>
    <col min="5" max="5" width="8.21875" style="18" customWidth="1"/>
    <col min="6" max="13" width="4.77734375" style="18" customWidth="1"/>
    <col min="14" max="14" width="5.77734375" style="18" customWidth="1"/>
    <col min="15" max="15" width="11.88671875" style="18" customWidth="1"/>
    <col min="16" max="16" width="0.33203125" style="4" customWidth="1"/>
    <col min="17" max="17" width="4.21875" style="4" customWidth="1"/>
    <col min="18" max="16384" width="8.88671875" style="4"/>
  </cols>
  <sheetData>
    <row r="1" spans="1:17" ht="39.75" customHeight="1" x14ac:dyDescent="0.15">
      <c r="A1" s="74" t="s">
        <v>85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17" ht="24" customHeight="1" thickBot="1" x14ac:dyDescent="0.2">
      <c r="A2" s="77" t="s">
        <v>29</v>
      </c>
      <c r="B2" s="78"/>
      <c r="C2" s="78"/>
      <c r="D2" s="21"/>
      <c r="E2" s="21"/>
      <c r="F2" s="21"/>
      <c r="G2" s="21"/>
      <c r="H2" s="21"/>
      <c r="I2" s="21"/>
      <c r="J2" s="79" t="s">
        <v>30</v>
      </c>
      <c r="K2" s="79"/>
      <c r="L2" s="79"/>
      <c r="M2" s="79"/>
      <c r="N2" s="79"/>
      <c r="O2" s="80"/>
    </row>
    <row r="3" spans="1:17" ht="13.5" customHeight="1" x14ac:dyDescent="0.15">
      <c r="A3" s="81" t="s">
        <v>8</v>
      </c>
      <c r="B3" s="84" t="s">
        <v>16</v>
      </c>
      <c r="C3" s="62" t="s">
        <v>20</v>
      </c>
      <c r="D3" s="62" t="s">
        <v>19</v>
      </c>
      <c r="E3" s="62" t="s">
        <v>18</v>
      </c>
      <c r="F3" s="62" t="s">
        <v>22</v>
      </c>
      <c r="G3" s="62" t="s">
        <v>23</v>
      </c>
      <c r="H3" s="89" t="s">
        <v>2</v>
      </c>
      <c r="I3" s="89"/>
      <c r="J3" s="89" t="s">
        <v>13</v>
      </c>
      <c r="K3" s="89"/>
      <c r="L3" s="89" t="s">
        <v>12</v>
      </c>
      <c r="M3" s="89"/>
      <c r="N3" s="62" t="s">
        <v>24</v>
      </c>
      <c r="O3" s="65" t="s">
        <v>25</v>
      </c>
    </row>
    <row r="4" spans="1:17" x14ac:dyDescent="0.15">
      <c r="A4" s="82"/>
      <c r="B4" s="85"/>
      <c r="C4" s="87"/>
      <c r="D4" s="87"/>
      <c r="E4" s="87"/>
      <c r="F4" s="87"/>
      <c r="G4" s="87"/>
      <c r="H4" s="63" t="s">
        <v>0</v>
      </c>
      <c r="I4" s="63" t="s">
        <v>3</v>
      </c>
      <c r="J4" s="63" t="s">
        <v>0</v>
      </c>
      <c r="K4" s="63" t="s">
        <v>3</v>
      </c>
      <c r="L4" s="63" t="s">
        <v>0</v>
      </c>
      <c r="M4" s="63" t="s">
        <v>3</v>
      </c>
      <c r="N4" s="63"/>
      <c r="O4" s="66"/>
    </row>
    <row r="5" spans="1:17" ht="14.25" thickBot="1" x14ac:dyDescent="0.2">
      <c r="A5" s="83"/>
      <c r="B5" s="86"/>
      <c r="C5" s="88"/>
      <c r="D5" s="88"/>
      <c r="E5" s="88"/>
      <c r="F5" s="88"/>
      <c r="G5" s="88"/>
      <c r="H5" s="64"/>
      <c r="I5" s="64"/>
      <c r="J5" s="64"/>
      <c r="K5" s="64"/>
      <c r="L5" s="64"/>
      <c r="M5" s="64"/>
      <c r="N5" s="64"/>
      <c r="O5" s="67"/>
    </row>
    <row r="6" spans="1:17" ht="17.25" customHeight="1" x14ac:dyDescent="0.15">
      <c r="A6" s="114" t="s">
        <v>15</v>
      </c>
      <c r="B6" s="70" t="s">
        <v>11</v>
      </c>
      <c r="C6" s="2" t="s">
        <v>40</v>
      </c>
      <c r="D6" s="2" t="s">
        <v>21</v>
      </c>
      <c r="E6" s="2" t="s">
        <v>31</v>
      </c>
      <c r="F6" s="2">
        <v>4</v>
      </c>
      <c r="G6" s="2">
        <v>4</v>
      </c>
      <c r="H6" s="6">
        <v>4</v>
      </c>
      <c r="I6" s="6"/>
      <c r="J6" s="6"/>
      <c r="K6" s="6"/>
      <c r="L6" s="6"/>
      <c r="M6" s="6"/>
      <c r="N6" s="70">
        <f>SUM(H6:M10)</f>
        <v>19</v>
      </c>
      <c r="O6" s="71">
        <v>8</v>
      </c>
      <c r="P6" s="15"/>
      <c r="Q6" s="15"/>
    </row>
    <row r="7" spans="1:17" ht="17.25" customHeight="1" x14ac:dyDescent="0.15">
      <c r="A7" s="115"/>
      <c r="B7" s="58"/>
      <c r="C7" s="22" t="s">
        <v>41</v>
      </c>
      <c r="D7" s="22" t="s">
        <v>21</v>
      </c>
      <c r="E7" s="22" t="s">
        <v>31</v>
      </c>
      <c r="F7" s="22">
        <v>4</v>
      </c>
      <c r="G7" s="22">
        <v>3</v>
      </c>
      <c r="H7" s="11"/>
      <c r="I7" s="11">
        <v>3</v>
      </c>
      <c r="J7" s="11"/>
      <c r="K7" s="11"/>
      <c r="L7" s="11"/>
      <c r="M7" s="11"/>
      <c r="N7" s="58"/>
      <c r="O7" s="72"/>
    </row>
    <row r="8" spans="1:17" ht="17.25" customHeight="1" x14ac:dyDescent="0.15">
      <c r="A8" s="115"/>
      <c r="B8" s="58"/>
      <c r="C8" s="22" t="s">
        <v>42</v>
      </c>
      <c r="D8" s="22" t="s">
        <v>21</v>
      </c>
      <c r="E8" s="22" t="s">
        <v>32</v>
      </c>
      <c r="F8" s="22">
        <v>4</v>
      </c>
      <c r="G8" s="22">
        <v>4</v>
      </c>
      <c r="H8" s="11"/>
      <c r="I8" s="11"/>
      <c r="J8" s="11">
        <v>4</v>
      </c>
      <c r="K8" s="11"/>
      <c r="L8" s="11"/>
      <c r="M8" s="11"/>
      <c r="N8" s="58"/>
      <c r="O8" s="72"/>
    </row>
    <row r="9" spans="1:17" ht="17.25" customHeight="1" x14ac:dyDescent="0.15">
      <c r="A9" s="116"/>
      <c r="B9" s="58"/>
      <c r="C9" s="27" t="s">
        <v>88</v>
      </c>
      <c r="D9" s="27" t="s">
        <v>21</v>
      </c>
      <c r="E9" s="27" t="s">
        <v>32</v>
      </c>
      <c r="F9" s="27">
        <v>4</v>
      </c>
      <c r="G9" s="27">
        <v>4</v>
      </c>
      <c r="H9" s="7"/>
      <c r="I9" s="7"/>
      <c r="J9" s="7"/>
      <c r="K9" s="7">
        <v>4</v>
      </c>
      <c r="L9" s="7"/>
      <c r="M9" s="7"/>
      <c r="N9" s="58"/>
      <c r="O9" s="72"/>
    </row>
    <row r="10" spans="1:17" ht="17.25" customHeight="1" x14ac:dyDescent="0.15">
      <c r="A10" s="116"/>
      <c r="B10" s="59"/>
      <c r="C10" s="27" t="s">
        <v>89</v>
      </c>
      <c r="D10" s="27" t="s">
        <v>21</v>
      </c>
      <c r="E10" s="27" t="s">
        <v>32</v>
      </c>
      <c r="F10" s="27">
        <v>4</v>
      </c>
      <c r="G10" s="27">
        <v>4</v>
      </c>
      <c r="H10" s="7"/>
      <c r="I10" s="7"/>
      <c r="J10" s="7"/>
      <c r="K10" s="7"/>
      <c r="L10" s="7">
        <v>4</v>
      </c>
      <c r="M10" s="7"/>
      <c r="N10" s="59"/>
      <c r="O10" s="69"/>
    </row>
    <row r="11" spans="1:17" ht="17.25" customHeight="1" x14ac:dyDescent="0.15">
      <c r="A11" s="116"/>
      <c r="B11" s="57" t="s">
        <v>1</v>
      </c>
      <c r="C11" s="27" t="s">
        <v>43</v>
      </c>
      <c r="D11" s="27" t="s">
        <v>21</v>
      </c>
      <c r="E11" s="27" t="s">
        <v>31</v>
      </c>
      <c r="F11" s="27">
        <v>4</v>
      </c>
      <c r="G11" s="27">
        <v>4</v>
      </c>
      <c r="H11" s="7">
        <v>4</v>
      </c>
      <c r="I11" s="7"/>
      <c r="J11" s="7"/>
      <c r="K11" s="7"/>
      <c r="L11" s="7"/>
      <c r="M11" s="7"/>
      <c r="N11" s="121">
        <f>SUM(H11:M15)</f>
        <v>20</v>
      </c>
      <c r="O11" s="68">
        <v>8</v>
      </c>
    </row>
    <row r="12" spans="1:17" ht="17.25" customHeight="1" x14ac:dyDescent="0.15">
      <c r="A12" s="116"/>
      <c r="B12" s="58"/>
      <c r="C12" s="27" t="s">
        <v>44</v>
      </c>
      <c r="D12" s="27" t="s">
        <v>21</v>
      </c>
      <c r="E12" s="27" t="s">
        <v>31</v>
      </c>
      <c r="F12" s="27">
        <v>4</v>
      </c>
      <c r="G12" s="27">
        <v>4</v>
      </c>
      <c r="H12" s="7"/>
      <c r="I12" s="7">
        <v>4</v>
      </c>
      <c r="J12" s="7"/>
      <c r="K12" s="7"/>
      <c r="L12" s="7"/>
      <c r="M12" s="7"/>
      <c r="N12" s="96"/>
      <c r="O12" s="72"/>
    </row>
    <row r="13" spans="1:17" ht="17.25" customHeight="1" x14ac:dyDescent="0.15">
      <c r="A13" s="116"/>
      <c r="B13" s="58"/>
      <c r="C13" s="27" t="s">
        <v>45</v>
      </c>
      <c r="D13" s="27" t="s">
        <v>21</v>
      </c>
      <c r="E13" s="27" t="s">
        <v>32</v>
      </c>
      <c r="F13" s="27">
        <v>4</v>
      </c>
      <c r="G13" s="27">
        <v>4</v>
      </c>
      <c r="H13" s="7"/>
      <c r="I13" s="7"/>
      <c r="J13" s="7">
        <v>4</v>
      </c>
      <c r="K13" s="7"/>
      <c r="L13" s="7"/>
      <c r="M13" s="7"/>
      <c r="N13" s="96"/>
      <c r="O13" s="72"/>
    </row>
    <row r="14" spans="1:17" ht="17.25" customHeight="1" x14ac:dyDescent="0.15">
      <c r="A14" s="116"/>
      <c r="B14" s="58"/>
      <c r="C14" s="27" t="s">
        <v>46</v>
      </c>
      <c r="D14" s="27" t="s">
        <v>21</v>
      </c>
      <c r="E14" s="27" t="s">
        <v>32</v>
      </c>
      <c r="F14" s="27">
        <v>4</v>
      </c>
      <c r="G14" s="27">
        <v>4</v>
      </c>
      <c r="H14" s="7"/>
      <c r="I14" s="7"/>
      <c r="J14" s="7">
        <v>4</v>
      </c>
      <c r="K14" s="7"/>
      <c r="L14" s="7"/>
      <c r="M14" s="7"/>
      <c r="N14" s="96"/>
      <c r="O14" s="72"/>
    </row>
    <row r="15" spans="1:17" ht="17.25" customHeight="1" x14ac:dyDescent="0.15">
      <c r="A15" s="116"/>
      <c r="B15" s="59"/>
      <c r="C15" s="27" t="s">
        <v>91</v>
      </c>
      <c r="D15" s="27" t="s">
        <v>21</v>
      </c>
      <c r="E15" s="27" t="s">
        <v>32</v>
      </c>
      <c r="F15" s="27">
        <v>4</v>
      </c>
      <c r="G15" s="27">
        <v>4</v>
      </c>
      <c r="H15" s="7"/>
      <c r="I15" s="7"/>
      <c r="J15" s="7"/>
      <c r="K15" s="7">
        <v>4</v>
      </c>
      <c r="L15" s="7"/>
      <c r="M15" s="7"/>
      <c r="N15" s="97"/>
      <c r="O15" s="69"/>
    </row>
    <row r="16" spans="1:17" ht="17.25" customHeight="1" x14ac:dyDescent="0.15">
      <c r="A16" s="116"/>
      <c r="B16" s="91" t="s">
        <v>4</v>
      </c>
      <c r="C16" s="3" t="s">
        <v>47</v>
      </c>
      <c r="D16" s="27" t="s">
        <v>21</v>
      </c>
      <c r="E16" s="27" t="s">
        <v>31</v>
      </c>
      <c r="F16" s="27">
        <v>4</v>
      </c>
      <c r="G16" s="27">
        <v>3</v>
      </c>
      <c r="H16" s="7">
        <v>3</v>
      </c>
      <c r="I16" s="7"/>
      <c r="J16" s="7"/>
      <c r="K16" s="7"/>
      <c r="L16" s="7"/>
      <c r="M16" s="7"/>
      <c r="N16" s="90">
        <f>SUM(H16:M20)</f>
        <v>19</v>
      </c>
      <c r="O16" s="73">
        <v>8</v>
      </c>
    </row>
    <row r="17" spans="1:15" ht="17.25" customHeight="1" x14ac:dyDescent="0.15">
      <c r="A17" s="116"/>
      <c r="B17" s="91"/>
      <c r="C17" s="3" t="s">
        <v>48</v>
      </c>
      <c r="D17" s="27" t="s">
        <v>21</v>
      </c>
      <c r="E17" s="27" t="s">
        <v>31</v>
      </c>
      <c r="F17" s="27">
        <v>4</v>
      </c>
      <c r="G17" s="27">
        <v>3</v>
      </c>
      <c r="H17" s="7"/>
      <c r="I17" s="7">
        <v>4</v>
      </c>
      <c r="J17" s="7"/>
      <c r="K17" s="7"/>
      <c r="L17" s="7"/>
      <c r="M17" s="7"/>
      <c r="N17" s="90"/>
      <c r="O17" s="73"/>
    </row>
    <row r="18" spans="1:15" ht="17.25" customHeight="1" x14ac:dyDescent="0.15">
      <c r="A18" s="116"/>
      <c r="B18" s="91"/>
      <c r="C18" s="3" t="s">
        <v>33</v>
      </c>
      <c r="D18" s="27" t="s">
        <v>21</v>
      </c>
      <c r="E18" s="27" t="s">
        <v>32</v>
      </c>
      <c r="F18" s="27">
        <v>4</v>
      </c>
      <c r="G18" s="27">
        <v>4</v>
      </c>
      <c r="H18" s="7"/>
      <c r="I18" s="7"/>
      <c r="J18" s="7">
        <v>4</v>
      </c>
      <c r="K18" s="7"/>
      <c r="L18" s="7"/>
      <c r="M18" s="7"/>
      <c r="N18" s="90"/>
      <c r="O18" s="73"/>
    </row>
    <row r="19" spans="1:15" ht="17.25" customHeight="1" x14ac:dyDescent="0.15">
      <c r="A19" s="116"/>
      <c r="B19" s="91"/>
      <c r="C19" s="5" t="s">
        <v>34</v>
      </c>
      <c r="D19" s="27" t="s">
        <v>21</v>
      </c>
      <c r="E19" s="27" t="s">
        <v>32</v>
      </c>
      <c r="F19" s="27">
        <v>4</v>
      </c>
      <c r="G19" s="27">
        <v>4</v>
      </c>
      <c r="H19" s="7"/>
      <c r="I19" s="7"/>
      <c r="J19" s="8"/>
      <c r="K19" s="7">
        <v>4</v>
      </c>
      <c r="L19" s="7"/>
      <c r="M19" s="7"/>
      <c r="N19" s="90"/>
      <c r="O19" s="73"/>
    </row>
    <row r="20" spans="1:15" ht="17.25" customHeight="1" x14ac:dyDescent="0.15">
      <c r="A20" s="116"/>
      <c r="B20" s="91"/>
      <c r="C20" s="27" t="s">
        <v>92</v>
      </c>
      <c r="D20" s="27" t="s">
        <v>21</v>
      </c>
      <c r="E20" s="27" t="s">
        <v>32</v>
      </c>
      <c r="F20" s="27">
        <v>4</v>
      </c>
      <c r="G20" s="27">
        <v>4</v>
      </c>
      <c r="H20" s="7"/>
      <c r="I20" s="7"/>
      <c r="J20" s="8"/>
      <c r="K20" s="7"/>
      <c r="L20" s="7">
        <v>4</v>
      </c>
      <c r="M20" s="7"/>
      <c r="N20" s="90"/>
      <c r="O20" s="73"/>
    </row>
    <row r="21" spans="1:15" ht="17.25" customHeight="1" x14ac:dyDescent="0.15">
      <c r="A21" s="116"/>
      <c r="B21" s="57" t="s">
        <v>9</v>
      </c>
      <c r="C21" s="27" t="s">
        <v>49</v>
      </c>
      <c r="D21" s="27" t="s">
        <v>21</v>
      </c>
      <c r="E21" s="27" t="s">
        <v>31</v>
      </c>
      <c r="F21" s="27">
        <v>3</v>
      </c>
      <c r="G21" s="27">
        <v>3</v>
      </c>
      <c r="H21" s="7">
        <v>3</v>
      </c>
      <c r="I21" s="7"/>
      <c r="J21" s="8"/>
      <c r="K21" s="7"/>
      <c r="L21" s="7"/>
      <c r="M21" s="7"/>
      <c r="N21" s="92">
        <f>SUM(H21:M22)</f>
        <v>6</v>
      </c>
      <c r="O21" s="68">
        <v>6</v>
      </c>
    </row>
    <row r="22" spans="1:15" ht="17.25" customHeight="1" x14ac:dyDescent="0.15">
      <c r="A22" s="116"/>
      <c r="B22" s="59"/>
      <c r="C22" s="27" t="s">
        <v>50</v>
      </c>
      <c r="D22" s="27" t="s">
        <v>21</v>
      </c>
      <c r="E22" s="27" t="s">
        <v>31</v>
      </c>
      <c r="F22" s="27">
        <v>3</v>
      </c>
      <c r="G22" s="27">
        <v>3</v>
      </c>
      <c r="H22" s="7"/>
      <c r="I22" s="7">
        <v>3</v>
      </c>
      <c r="J22" s="7"/>
      <c r="K22" s="9"/>
      <c r="L22" s="7"/>
      <c r="M22" s="7"/>
      <c r="N22" s="59"/>
      <c r="O22" s="69"/>
    </row>
    <row r="23" spans="1:15" ht="17.25" customHeight="1" x14ac:dyDescent="0.15">
      <c r="A23" s="116"/>
      <c r="B23" s="57" t="s">
        <v>6</v>
      </c>
      <c r="C23" s="27" t="s">
        <v>51</v>
      </c>
      <c r="D23" s="27" t="s">
        <v>21</v>
      </c>
      <c r="E23" s="27" t="s">
        <v>31</v>
      </c>
      <c r="F23" s="27">
        <v>4</v>
      </c>
      <c r="G23" s="27">
        <v>4</v>
      </c>
      <c r="H23" s="7">
        <v>4</v>
      </c>
      <c r="I23" s="7"/>
      <c r="J23" s="7"/>
      <c r="K23" s="9"/>
      <c r="L23" s="7"/>
      <c r="M23" s="7"/>
      <c r="N23" s="92">
        <f>SUM(H23:M24)</f>
        <v>8</v>
      </c>
      <c r="O23" s="68">
        <v>8</v>
      </c>
    </row>
    <row r="24" spans="1:15" ht="17.25" customHeight="1" x14ac:dyDescent="0.15">
      <c r="A24" s="116"/>
      <c r="B24" s="59"/>
      <c r="C24" s="27" t="s">
        <v>52</v>
      </c>
      <c r="D24" s="27" t="s">
        <v>21</v>
      </c>
      <c r="E24" s="27" t="s">
        <v>31</v>
      </c>
      <c r="F24" s="27">
        <v>4</v>
      </c>
      <c r="G24" s="27">
        <v>4</v>
      </c>
      <c r="H24" s="7"/>
      <c r="I24" s="7">
        <v>4</v>
      </c>
      <c r="J24" s="7"/>
      <c r="K24" s="7"/>
      <c r="L24" s="9"/>
      <c r="M24" s="9"/>
      <c r="N24" s="59"/>
      <c r="O24" s="69"/>
    </row>
    <row r="25" spans="1:15" ht="17.25" customHeight="1" x14ac:dyDescent="0.15">
      <c r="A25" s="116"/>
      <c r="B25" s="90" t="s">
        <v>7</v>
      </c>
      <c r="C25" s="27" t="s">
        <v>53</v>
      </c>
      <c r="D25" s="27" t="s">
        <v>21</v>
      </c>
      <c r="E25" s="27" t="s">
        <v>31</v>
      </c>
      <c r="F25" s="27">
        <v>4</v>
      </c>
      <c r="G25" s="27">
        <v>4</v>
      </c>
      <c r="H25" s="7">
        <v>4</v>
      </c>
      <c r="I25" s="7"/>
      <c r="J25" s="7"/>
      <c r="K25" s="7"/>
      <c r="L25" s="9"/>
      <c r="M25" s="9"/>
      <c r="N25" s="91">
        <f>SUM(H25:M28)</f>
        <v>10</v>
      </c>
      <c r="O25" s="73">
        <v>10</v>
      </c>
    </row>
    <row r="26" spans="1:15" ht="17.25" customHeight="1" x14ac:dyDescent="0.15">
      <c r="A26" s="116"/>
      <c r="B26" s="90"/>
      <c r="C26" s="27" t="s">
        <v>54</v>
      </c>
      <c r="D26" s="27" t="s">
        <v>21</v>
      </c>
      <c r="E26" s="27" t="s">
        <v>31</v>
      </c>
      <c r="F26" s="27">
        <v>4</v>
      </c>
      <c r="G26" s="27">
        <v>4</v>
      </c>
      <c r="H26" s="7"/>
      <c r="I26" s="7">
        <v>4</v>
      </c>
      <c r="J26" s="7"/>
      <c r="K26" s="7"/>
      <c r="L26" s="9"/>
      <c r="M26" s="9"/>
      <c r="N26" s="91"/>
      <c r="O26" s="73"/>
    </row>
    <row r="27" spans="1:15" ht="17.25" customHeight="1" x14ac:dyDescent="0.15">
      <c r="A27" s="116"/>
      <c r="B27" s="90"/>
      <c r="C27" s="27" t="s">
        <v>55</v>
      </c>
      <c r="D27" s="27" t="s">
        <v>21</v>
      </c>
      <c r="E27" s="27" t="s">
        <v>31</v>
      </c>
      <c r="F27" s="27">
        <v>1</v>
      </c>
      <c r="G27" s="27">
        <v>1</v>
      </c>
      <c r="H27" s="7">
        <v>1</v>
      </c>
      <c r="I27" s="7"/>
      <c r="J27" s="7"/>
      <c r="K27" s="7"/>
      <c r="L27" s="9"/>
      <c r="M27" s="9"/>
      <c r="N27" s="91"/>
      <c r="O27" s="73"/>
    </row>
    <row r="28" spans="1:15" ht="17.25" customHeight="1" x14ac:dyDescent="0.15">
      <c r="A28" s="116"/>
      <c r="B28" s="90"/>
      <c r="C28" s="27" t="s">
        <v>56</v>
      </c>
      <c r="D28" s="27" t="s">
        <v>21</v>
      </c>
      <c r="E28" s="27" t="s">
        <v>31</v>
      </c>
      <c r="F28" s="27">
        <v>1</v>
      </c>
      <c r="G28" s="27">
        <v>1</v>
      </c>
      <c r="H28" s="7"/>
      <c r="I28" s="7">
        <v>1</v>
      </c>
      <c r="J28" s="7"/>
      <c r="K28" s="7"/>
      <c r="L28" s="7"/>
      <c r="M28" s="7"/>
      <c r="N28" s="90"/>
      <c r="O28" s="73"/>
    </row>
    <row r="29" spans="1:15" ht="17.25" customHeight="1" x14ac:dyDescent="0.15">
      <c r="A29" s="116"/>
      <c r="B29" s="91" t="s">
        <v>5</v>
      </c>
      <c r="C29" s="27" t="s">
        <v>57</v>
      </c>
      <c r="D29" s="27" t="s">
        <v>21</v>
      </c>
      <c r="E29" s="27" t="s">
        <v>32</v>
      </c>
      <c r="F29" s="27">
        <v>3</v>
      </c>
      <c r="G29" s="27">
        <v>2</v>
      </c>
      <c r="H29" s="7">
        <v>2</v>
      </c>
      <c r="I29" s="7"/>
      <c r="J29" s="7"/>
      <c r="K29" s="7"/>
      <c r="L29" s="7"/>
      <c r="M29" s="7"/>
      <c r="N29" s="90">
        <f>SUM(H29:M34)</f>
        <v>10</v>
      </c>
      <c r="O29" s="73">
        <v>10</v>
      </c>
    </row>
    <row r="30" spans="1:15" ht="17.25" customHeight="1" x14ac:dyDescent="0.15">
      <c r="A30" s="116"/>
      <c r="B30" s="91"/>
      <c r="C30" s="27" t="s">
        <v>58</v>
      </c>
      <c r="D30" s="27" t="s">
        <v>21</v>
      </c>
      <c r="E30" s="27" t="s">
        <v>32</v>
      </c>
      <c r="F30" s="27">
        <v>3</v>
      </c>
      <c r="G30" s="27">
        <v>2</v>
      </c>
      <c r="H30" s="7"/>
      <c r="I30" s="7">
        <v>2</v>
      </c>
      <c r="J30" s="7"/>
      <c r="K30" s="7"/>
      <c r="L30" s="7"/>
      <c r="M30" s="7"/>
      <c r="N30" s="90"/>
      <c r="O30" s="73"/>
    </row>
    <row r="31" spans="1:15" ht="17.25" customHeight="1" x14ac:dyDescent="0.15">
      <c r="A31" s="116"/>
      <c r="B31" s="91"/>
      <c r="C31" s="27" t="s">
        <v>96</v>
      </c>
      <c r="D31" s="27" t="s">
        <v>21</v>
      </c>
      <c r="E31" s="27" t="s">
        <v>39</v>
      </c>
      <c r="F31" s="27">
        <v>3</v>
      </c>
      <c r="G31" s="27">
        <v>2</v>
      </c>
      <c r="H31" s="7"/>
      <c r="I31" s="7"/>
      <c r="J31" s="7">
        <v>2</v>
      </c>
      <c r="K31" s="7"/>
      <c r="L31" s="7"/>
      <c r="M31" s="7"/>
      <c r="N31" s="90"/>
      <c r="O31" s="73"/>
    </row>
    <row r="32" spans="1:15" ht="17.25" customHeight="1" x14ac:dyDescent="0.15">
      <c r="A32" s="116"/>
      <c r="B32" s="91"/>
      <c r="C32" s="27" t="s">
        <v>97</v>
      </c>
      <c r="D32" s="27" t="s">
        <v>21</v>
      </c>
      <c r="E32" s="27" t="s">
        <v>39</v>
      </c>
      <c r="F32" s="27">
        <v>2</v>
      </c>
      <c r="G32" s="27">
        <v>1</v>
      </c>
      <c r="H32" s="7"/>
      <c r="I32" s="7"/>
      <c r="J32" s="7"/>
      <c r="K32" s="7">
        <v>1</v>
      </c>
      <c r="L32" s="7"/>
      <c r="M32" s="7"/>
      <c r="N32" s="90"/>
      <c r="O32" s="73"/>
    </row>
    <row r="33" spans="1:15" ht="17.25" customHeight="1" x14ac:dyDescent="0.15">
      <c r="A33" s="116"/>
      <c r="B33" s="91"/>
      <c r="C33" s="27" t="s">
        <v>98</v>
      </c>
      <c r="D33" s="27" t="s">
        <v>21</v>
      </c>
      <c r="E33" s="27" t="s">
        <v>59</v>
      </c>
      <c r="F33" s="27">
        <v>2</v>
      </c>
      <c r="G33" s="27">
        <v>1</v>
      </c>
      <c r="H33" s="7"/>
      <c r="I33" s="7"/>
      <c r="J33" s="7"/>
      <c r="K33" s="7"/>
      <c r="L33" s="7">
        <v>1</v>
      </c>
      <c r="M33" s="7"/>
      <c r="N33" s="90"/>
      <c r="O33" s="73"/>
    </row>
    <row r="34" spans="1:15" ht="17.25" customHeight="1" x14ac:dyDescent="0.15">
      <c r="A34" s="116"/>
      <c r="B34" s="91"/>
      <c r="C34" s="27" t="s">
        <v>99</v>
      </c>
      <c r="D34" s="27" t="s">
        <v>21</v>
      </c>
      <c r="E34" s="27" t="s">
        <v>39</v>
      </c>
      <c r="F34" s="27">
        <v>3</v>
      </c>
      <c r="G34" s="27">
        <v>2</v>
      </c>
      <c r="H34" s="7"/>
      <c r="I34" s="7"/>
      <c r="J34" s="7"/>
      <c r="K34" s="7"/>
      <c r="L34" s="7"/>
      <c r="M34" s="7">
        <v>2</v>
      </c>
      <c r="N34" s="90"/>
      <c r="O34" s="73"/>
    </row>
    <row r="35" spans="1:15" ht="17.25" customHeight="1" x14ac:dyDescent="0.15">
      <c r="A35" s="116"/>
      <c r="B35" s="91" t="s">
        <v>10</v>
      </c>
      <c r="C35" s="27" t="s">
        <v>35</v>
      </c>
      <c r="D35" s="27" t="s">
        <v>21</v>
      </c>
      <c r="E35" s="27" t="s">
        <v>32</v>
      </c>
      <c r="F35" s="27">
        <v>3</v>
      </c>
      <c r="G35" s="27">
        <v>2</v>
      </c>
      <c r="H35" s="7">
        <v>2</v>
      </c>
      <c r="I35" s="7">
        <v>-2</v>
      </c>
      <c r="J35" s="7"/>
      <c r="K35" s="7"/>
      <c r="L35" s="7"/>
      <c r="M35" s="7"/>
      <c r="N35" s="91">
        <v>4</v>
      </c>
      <c r="O35" s="93" t="s">
        <v>69</v>
      </c>
    </row>
    <row r="36" spans="1:15" ht="17.25" customHeight="1" x14ac:dyDescent="0.15">
      <c r="A36" s="116"/>
      <c r="B36" s="91"/>
      <c r="C36" s="27" t="s">
        <v>36</v>
      </c>
      <c r="D36" s="27" t="s">
        <v>21</v>
      </c>
      <c r="E36" s="27" t="s">
        <v>32</v>
      </c>
      <c r="F36" s="27">
        <v>3</v>
      </c>
      <c r="G36" s="27">
        <v>2</v>
      </c>
      <c r="H36" s="7">
        <v>-2</v>
      </c>
      <c r="I36" s="7">
        <v>2</v>
      </c>
      <c r="J36" s="7"/>
      <c r="K36" s="7"/>
      <c r="L36" s="7"/>
      <c r="M36" s="7"/>
      <c r="N36" s="91"/>
      <c r="O36" s="94"/>
    </row>
    <row r="37" spans="1:15" ht="17.25" customHeight="1" x14ac:dyDescent="0.15">
      <c r="A37" s="116"/>
      <c r="B37" s="91" t="s">
        <v>65</v>
      </c>
      <c r="C37" s="26" t="s">
        <v>37</v>
      </c>
      <c r="D37" s="26" t="s">
        <v>21</v>
      </c>
      <c r="E37" s="27" t="s">
        <v>32</v>
      </c>
      <c r="F37" s="27">
        <v>4</v>
      </c>
      <c r="G37" s="27">
        <v>3</v>
      </c>
      <c r="H37" s="7">
        <v>3</v>
      </c>
      <c r="I37" s="7">
        <v>-3</v>
      </c>
      <c r="J37" s="7"/>
      <c r="K37" s="7"/>
      <c r="L37" s="7"/>
      <c r="M37" s="7"/>
      <c r="N37" s="91">
        <v>6</v>
      </c>
      <c r="O37" s="98" t="s">
        <v>70</v>
      </c>
    </row>
    <row r="38" spans="1:15" ht="17.25" customHeight="1" x14ac:dyDescent="0.15">
      <c r="A38" s="116"/>
      <c r="B38" s="91"/>
      <c r="C38" s="26" t="s">
        <v>38</v>
      </c>
      <c r="D38" s="26" t="s">
        <v>21</v>
      </c>
      <c r="E38" s="27" t="s">
        <v>32</v>
      </c>
      <c r="F38" s="27">
        <v>4</v>
      </c>
      <c r="G38" s="27">
        <v>3</v>
      </c>
      <c r="H38" s="7">
        <v>-3</v>
      </c>
      <c r="I38" s="7">
        <v>3</v>
      </c>
      <c r="J38" s="7"/>
      <c r="K38" s="7"/>
      <c r="L38" s="7"/>
      <c r="M38" s="7"/>
      <c r="N38" s="91"/>
      <c r="O38" s="99"/>
    </row>
    <row r="39" spans="1:15" ht="17.25" customHeight="1" thickBot="1" x14ac:dyDescent="0.2">
      <c r="A39" s="117"/>
      <c r="B39" s="100" t="s">
        <v>64</v>
      </c>
      <c r="C39" s="101"/>
      <c r="D39" s="101"/>
      <c r="E39" s="101"/>
      <c r="F39" s="101"/>
      <c r="G39" s="102"/>
      <c r="H39" s="10">
        <v>30</v>
      </c>
      <c r="I39" s="10">
        <v>30</v>
      </c>
      <c r="J39" s="10">
        <f t="shared" ref="J39:O39" si="0">SUM(J6:J38)</f>
        <v>18</v>
      </c>
      <c r="K39" s="10">
        <f t="shared" si="0"/>
        <v>13</v>
      </c>
      <c r="L39" s="10">
        <f t="shared" si="0"/>
        <v>9</v>
      </c>
      <c r="M39" s="10">
        <f t="shared" si="0"/>
        <v>2</v>
      </c>
      <c r="N39" s="31">
        <f t="shared" si="0"/>
        <v>102</v>
      </c>
      <c r="O39" s="20">
        <f t="shared" si="0"/>
        <v>58</v>
      </c>
    </row>
    <row r="40" spans="1:15" ht="25.5" customHeight="1" x14ac:dyDescent="0.15">
      <c r="A40" s="124"/>
      <c r="B40" s="106" t="s">
        <v>83</v>
      </c>
      <c r="C40" s="45" t="s">
        <v>87</v>
      </c>
      <c r="D40" s="46" t="s">
        <v>60</v>
      </c>
      <c r="E40" s="108" t="s">
        <v>59</v>
      </c>
      <c r="F40" s="46">
        <v>2</v>
      </c>
      <c r="G40" s="46">
        <v>1</v>
      </c>
      <c r="H40" s="47">
        <v>1</v>
      </c>
      <c r="I40" s="47"/>
      <c r="J40" s="47"/>
      <c r="K40" s="47"/>
      <c r="L40" s="47"/>
      <c r="M40" s="47"/>
      <c r="N40" s="110">
        <v>2</v>
      </c>
      <c r="O40" s="112" t="s">
        <v>86</v>
      </c>
    </row>
    <row r="41" spans="1:15" ht="25.5" customHeight="1" thickBot="1" x14ac:dyDescent="0.2">
      <c r="A41" s="125"/>
      <c r="B41" s="107"/>
      <c r="C41" s="48" t="s">
        <v>84</v>
      </c>
      <c r="D41" s="49" t="s">
        <v>60</v>
      </c>
      <c r="E41" s="109"/>
      <c r="F41" s="49">
        <v>2</v>
      </c>
      <c r="G41" s="49">
        <v>1</v>
      </c>
      <c r="H41" s="50"/>
      <c r="I41" s="50">
        <v>1</v>
      </c>
      <c r="J41" s="50"/>
      <c r="K41" s="50"/>
      <c r="L41" s="50"/>
      <c r="M41" s="50"/>
      <c r="N41" s="111"/>
      <c r="O41" s="113"/>
    </row>
    <row r="42" spans="1:15" ht="24.75" customHeight="1" x14ac:dyDescent="0.15">
      <c r="A42" s="114" t="s">
        <v>14</v>
      </c>
      <c r="B42" s="103" t="s">
        <v>80</v>
      </c>
      <c r="C42" s="104" t="s">
        <v>81</v>
      </c>
      <c r="D42" s="70" t="s">
        <v>67</v>
      </c>
      <c r="E42" s="70" t="s">
        <v>82</v>
      </c>
      <c r="F42" s="2">
        <v>4</v>
      </c>
      <c r="G42" s="32">
        <v>3</v>
      </c>
      <c r="H42" s="16"/>
      <c r="I42" s="16"/>
      <c r="J42" s="16">
        <v>3</v>
      </c>
      <c r="K42" s="16"/>
      <c r="L42" s="16"/>
      <c r="M42" s="16"/>
      <c r="N42" s="70">
        <v>12</v>
      </c>
      <c r="O42" s="13"/>
    </row>
    <row r="43" spans="1:15" ht="24.75" customHeight="1" x14ac:dyDescent="0.15">
      <c r="A43" s="116"/>
      <c r="B43" s="96"/>
      <c r="C43" s="105"/>
      <c r="D43" s="58"/>
      <c r="E43" s="58"/>
      <c r="F43" s="27">
        <v>4</v>
      </c>
      <c r="G43" s="26">
        <v>3</v>
      </c>
      <c r="H43" s="7"/>
      <c r="I43" s="7"/>
      <c r="J43" s="7">
        <v>3</v>
      </c>
      <c r="K43" s="7"/>
      <c r="L43" s="7"/>
      <c r="M43" s="7"/>
      <c r="N43" s="58"/>
      <c r="O43" s="43"/>
    </row>
    <row r="44" spans="1:15" ht="24.75" customHeight="1" x14ac:dyDescent="0.15">
      <c r="A44" s="116"/>
      <c r="B44" s="96"/>
      <c r="C44" s="105"/>
      <c r="D44" s="58"/>
      <c r="E44" s="58"/>
      <c r="F44" s="27">
        <v>4</v>
      </c>
      <c r="G44" s="26">
        <v>3</v>
      </c>
      <c r="H44" s="7"/>
      <c r="I44" s="7"/>
      <c r="J44" s="7">
        <v>3</v>
      </c>
      <c r="K44" s="7"/>
      <c r="L44" s="7"/>
      <c r="M44" s="7"/>
      <c r="N44" s="58"/>
      <c r="O44" s="43"/>
    </row>
    <row r="45" spans="1:15" ht="24.75" customHeight="1" x14ac:dyDescent="0.15">
      <c r="A45" s="116"/>
      <c r="B45" s="96"/>
      <c r="C45" s="105"/>
      <c r="D45" s="58"/>
      <c r="E45" s="58"/>
      <c r="F45" s="27">
        <v>4</v>
      </c>
      <c r="G45" s="26">
        <v>3</v>
      </c>
      <c r="H45" s="7"/>
      <c r="I45" s="7"/>
      <c r="J45" s="7">
        <v>3</v>
      </c>
      <c r="K45" s="7"/>
      <c r="L45" s="7"/>
      <c r="M45" s="7"/>
      <c r="N45" s="59"/>
      <c r="O45" s="44"/>
    </row>
    <row r="46" spans="1:15" ht="25.5" customHeight="1" x14ac:dyDescent="0.15">
      <c r="A46" s="116"/>
      <c r="B46" s="91" t="s">
        <v>73</v>
      </c>
      <c r="C46" s="95" t="s">
        <v>94</v>
      </c>
      <c r="D46" s="90" t="s">
        <v>61</v>
      </c>
      <c r="E46" s="90" t="s">
        <v>39</v>
      </c>
      <c r="F46" s="37">
        <v>4</v>
      </c>
      <c r="G46" s="38">
        <v>3</v>
      </c>
      <c r="H46" s="7"/>
      <c r="I46" s="9"/>
      <c r="J46" s="7"/>
      <c r="K46" s="7">
        <v>3</v>
      </c>
      <c r="L46" s="7"/>
      <c r="M46" s="7"/>
      <c r="N46" s="90">
        <v>6</v>
      </c>
      <c r="O46" s="28"/>
    </row>
    <row r="47" spans="1:15" ht="25.5" customHeight="1" x14ac:dyDescent="0.15">
      <c r="A47" s="116"/>
      <c r="B47" s="91"/>
      <c r="C47" s="95"/>
      <c r="D47" s="90"/>
      <c r="E47" s="90"/>
      <c r="F47" s="37">
        <v>4</v>
      </c>
      <c r="G47" s="38">
        <v>3</v>
      </c>
      <c r="H47" s="7"/>
      <c r="I47" s="9"/>
      <c r="J47" s="7"/>
      <c r="K47" s="7">
        <v>3</v>
      </c>
      <c r="L47" s="7"/>
      <c r="M47" s="7"/>
      <c r="N47" s="90"/>
      <c r="O47" s="28"/>
    </row>
    <row r="48" spans="1:15" ht="25.5" customHeight="1" x14ac:dyDescent="0.15">
      <c r="A48" s="116"/>
      <c r="B48" s="96" t="s">
        <v>77</v>
      </c>
      <c r="C48" s="95" t="s">
        <v>100</v>
      </c>
      <c r="D48" s="90" t="s">
        <v>74</v>
      </c>
      <c r="E48" s="90" t="s">
        <v>72</v>
      </c>
      <c r="F48" s="37">
        <v>4</v>
      </c>
      <c r="G48" s="1">
        <v>3</v>
      </c>
      <c r="H48" s="7"/>
      <c r="I48" s="9"/>
      <c r="J48" s="7"/>
      <c r="K48" s="7">
        <v>3</v>
      </c>
      <c r="L48" s="7"/>
      <c r="M48" s="7"/>
      <c r="N48" s="90">
        <v>9</v>
      </c>
      <c r="O48" s="28"/>
    </row>
    <row r="49" spans="1:17" ht="25.5" customHeight="1" x14ac:dyDescent="0.15">
      <c r="A49" s="116"/>
      <c r="B49" s="96"/>
      <c r="C49" s="95"/>
      <c r="D49" s="90"/>
      <c r="E49" s="90"/>
      <c r="F49" s="37">
        <v>4</v>
      </c>
      <c r="G49" s="1">
        <v>3</v>
      </c>
      <c r="H49" s="7"/>
      <c r="I49" s="7"/>
      <c r="J49" s="7"/>
      <c r="K49" s="7">
        <v>3</v>
      </c>
      <c r="L49" s="7"/>
      <c r="M49" s="7"/>
      <c r="N49" s="90"/>
      <c r="O49" s="28"/>
    </row>
    <row r="50" spans="1:17" ht="25.5" customHeight="1" x14ac:dyDescent="0.15">
      <c r="A50" s="116"/>
      <c r="B50" s="97"/>
      <c r="C50" s="95"/>
      <c r="D50" s="90"/>
      <c r="E50" s="90"/>
      <c r="F50" s="37">
        <v>4</v>
      </c>
      <c r="G50" s="1">
        <v>3</v>
      </c>
      <c r="H50" s="7"/>
      <c r="I50" s="7"/>
      <c r="J50" s="7"/>
      <c r="K50" s="7">
        <v>3</v>
      </c>
      <c r="L50" s="7"/>
      <c r="M50" s="7"/>
      <c r="N50" s="90"/>
      <c r="O50" s="28"/>
    </row>
    <row r="51" spans="1:17" ht="24.75" customHeight="1" x14ac:dyDescent="0.15">
      <c r="A51" s="116"/>
      <c r="B51" s="24" t="s">
        <v>62</v>
      </c>
      <c r="C51" s="39" t="s">
        <v>66</v>
      </c>
      <c r="D51" s="30" t="s">
        <v>60</v>
      </c>
      <c r="E51" s="30" t="s">
        <v>39</v>
      </c>
      <c r="F51" s="27">
        <v>3</v>
      </c>
      <c r="G51" s="1">
        <v>2</v>
      </c>
      <c r="H51" s="7"/>
      <c r="I51" s="7"/>
      <c r="J51" s="7"/>
      <c r="K51" s="29">
        <v>2</v>
      </c>
      <c r="L51" s="7"/>
      <c r="M51" s="7"/>
      <c r="N51" s="27">
        <v>2</v>
      </c>
      <c r="O51" s="28"/>
    </row>
    <row r="52" spans="1:17" ht="23.25" customHeight="1" x14ac:dyDescent="0.15">
      <c r="A52" s="118"/>
      <c r="B52" s="121" t="s">
        <v>68</v>
      </c>
      <c r="C52" s="122" t="s">
        <v>90</v>
      </c>
      <c r="D52" s="60" t="s">
        <v>61</v>
      </c>
      <c r="E52" s="60" t="s">
        <v>39</v>
      </c>
      <c r="F52" s="34">
        <v>4</v>
      </c>
      <c r="G52" s="17">
        <v>3</v>
      </c>
      <c r="H52" s="35"/>
      <c r="I52" s="35"/>
      <c r="J52" s="35"/>
      <c r="K52" s="35"/>
      <c r="L52" s="35">
        <v>3</v>
      </c>
      <c r="M52" s="35"/>
      <c r="N52" s="57">
        <v>6</v>
      </c>
      <c r="O52" s="36"/>
      <c r="Q52" s="15"/>
    </row>
    <row r="53" spans="1:17" ht="23.25" customHeight="1" x14ac:dyDescent="0.15">
      <c r="A53" s="118"/>
      <c r="B53" s="96"/>
      <c r="C53" s="123"/>
      <c r="D53" s="61"/>
      <c r="E53" s="61"/>
      <c r="F53" s="23">
        <v>4</v>
      </c>
      <c r="G53" s="17">
        <v>3</v>
      </c>
      <c r="H53" s="29"/>
      <c r="I53" s="29"/>
      <c r="J53" s="29"/>
      <c r="K53" s="29"/>
      <c r="L53" s="29">
        <v>3</v>
      </c>
      <c r="M53" s="29"/>
      <c r="N53" s="59"/>
      <c r="O53" s="25"/>
    </row>
    <row r="54" spans="1:17" ht="22.5" customHeight="1" x14ac:dyDescent="0.15">
      <c r="A54" s="119"/>
      <c r="B54" s="91" t="s">
        <v>75</v>
      </c>
      <c r="C54" s="130" t="s">
        <v>95</v>
      </c>
      <c r="D54" s="51" t="s">
        <v>67</v>
      </c>
      <c r="E54" s="54" t="s">
        <v>72</v>
      </c>
      <c r="F54" s="23">
        <v>4</v>
      </c>
      <c r="G54" s="17">
        <v>3</v>
      </c>
      <c r="H54" s="29"/>
      <c r="I54" s="29"/>
      <c r="J54" s="29"/>
      <c r="K54" s="29"/>
      <c r="L54" s="29">
        <v>3</v>
      </c>
      <c r="M54" s="29"/>
      <c r="N54" s="57">
        <v>12</v>
      </c>
      <c r="O54" s="25"/>
    </row>
    <row r="55" spans="1:17" ht="22.5" customHeight="1" x14ac:dyDescent="0.15">
      <c r="A55" s="119"/>
      <c r="B55" s="91"/>
      <c r="C55" s="130"/>
      <c r="D55" s="52"/>
      <c r="E55" s="55"/>
      <c r="F55" s="23">
        <v>4</v>
      </c>
      <c r="G55" s="17">
        <v>3</v>
      </c>
      <c r="H55" s="29"/>
      <c r="I55" s="29"/>
      <c r="J55" s="29"/>
      <c r="K55" s="29"/>
      <c r="L55" s="29">
        <v>3</v>
      </c>
      <c r="M55" s="29"/>
      <c r="N55" s="58"/>
      <c r="O55" s="25"/>
    </row>
    <row r="56" spans="1:17" ht="22.5" customHeight="1" x14ac:dyDescent="0.15">
      <c r="A56" s="119"/>
      <c r="B56" s="91"/>
      <c r="C56" s="130"/>
      <c r="D56" s="52"/>
      <c r="E56" s="55"/>
      <c r="F56" s="23">
        <v>4</v>
      </c>
      <c r="G56" s="17">
        <v>3</v>
      </c>
      <c r="H56" s="29"/>
      <c r="I56" s="29"/>
      <c r="J56" s="29"/>
      <c r="K56" s="29"/>
      <c r="L56" s="29">
        <v>3</v>
      </c>
      <c r="M56" s="29"/>
      <c r="N56" s="58"/>
      <c r="O56" s="25"/>
    </row>
    <row r="57" spans="1:17" ht="22.5" customHeight="1" x14ac:dyDescent="0.15">
      <c r="A57" s="119"/>
      <c r="B57" s="91"/>
      <c r="C57" s="130"/>
      <c r="D57" s="53"/>
      <c r="E57" s="56"/>
      <c r="F57" s="23">
        <v>4</v>
      </c>
      <c r="G57" s="17">
        <v>3</v>
      </c>
      <c r="H57" s="29"/>
      <c r="I57" s="29"/>
      <c r="J57" s="29"/>
      <c r="K57" s="29"/>
      <c r="L57" s="29">
        <v>3</v>
      </c>
      <c r="M57" s="29"/>
      <c r="N57" s="59"/>
      <c r="O57" s="25"/>
    </row>
    <row r="58" spans="1:17" ht="18" customHeight="1" x14ac:dyDescent="0.15">
      <c r="A58" s="118"/>
      <c r="B58" s="121" t="s">
        <v>68</v>
      </c>
      <c r="C58" s="122" t="s">
        <v>93</v>
      </c>
      <c r="D58" s="60" t="s">
        <v>63</v>
      </c>
      <c r="E58" s="60" t="s">
        <v>72</v>
      </c>
      <c r="F58" s="23">
        <v>4</v>
      </c>
      <c r="G58" s="17">
        <v>3</v>
      </c>
      <c r="H58" s="29"/>
      <c r="I58" s="29"/>
      <c r="J58" s="29"/>
      <c r="K58" s="29"/>
      <c r="L58" s="29"/>
      <c r="M58" s="29">
        <v>3</v>
      </c>
      <c r="N58" s="57">
        <v>9</v>
      </c>
      <c r="O58" s="25"/>
    </row>
    <row r="59" spans="1:17" ht="18" customHeight="1" x14ac:dyDescent="0.15">
      <c r="A59" s="118"/>
      <c r="B59" s="96"/>
      <c r="C59" s="123"/>
      <c r="D59" s="120"/>
      <c r="E59" s="120"/>
      <c r="F59" s="23">
        <v>4</v>
      </c>
      <c r="G59" s="17">
        <v>3</v>
      </c>
      <c r="H59" s="29"/>
      <c r="I59" s="29"/>
      <c r="J59" s="29"/>
      <c r="K59" s="29"/>
      <c r="L59" s="29"/>
      <c r="M59" s="29">
        <v>3</v>
      </c>
      <c r="N59" s="58"/>
      <c r="O59" s="25"/>
    </row>
    <row r="60" spans="1:17" ht="18" customHeight="1" x14ac:dyDescent="0.15">
      <c r="A60" s="118"/>
      <c r="B60" s="96"/>
      <c r="C60" s="123"/>
      <c r="D60" s="120"/>
      <c r="E60" s="120"/>
      <c r="F60" s="23">
        <v>4</v>
      </c>
      <c r="G60" s="17">
        <v>3</v>
      </c>
      <c r="H60" s="29"/>
      <c r="I60" s="29"/>
      <c r="J60" s="29"/>
      <c r="K60" s="29"/>
      <c r="L60" s="29"/>
      <c r="M60" s="29">
        <v>3</v>
      </c>
      <c r="N60" s="58"/>
      <c r="O60" s="25"/>
    </row>
    <row r="61" spans="1:17" ht="17.25" customHeight="1" x14ac:dyDescent="0.15">
      <c r="A61" s="118"/>
      <c r="B61" s="121" t="s">
        <v>71</v>
      </c>
      <c r="C61" s="122" t="s">
        <v>76</v>
      </c>
      <c r="D61" s="60" t="s">
        <v>67</v>
      </c>
      <c r="E61" s="60" t="s">
        <v>72</v>
      </c>
      <c r="F61" s="23">
        <v>4</v>
      </c>
      <c r="G61" s="17">
        <v>3</v>
      </c>
      <c r="H61" s="29"/>
      <c r="I61" s="29"/>
      <c r="J61" s="29"/>
      <c r="K61" s="29"/>
      <c r="L61" s="29"/>
      <c r="M61" s="29">
        <v>3</v>
      </c>
      <c r="N61" s="57">
        <v>12</v>
      </c>
      <c r="O61" s="25"/>
    </row>
    <row r="62" spans="1:17" ht="17.25" customHeight="1" x14ac:dyDescent="0.15">
      <c r="A62" s="118"/>
      <c r="B62" s="96"/>
      <c r="C62" s="123"/>
      <c r="D62" s="120"/>
      <c r="E62" s="120"/>
      <c r="F62" s="23">
        <v>4</v>
      </c>
      <c r="G62" s="17">
        <v>3</v>
      </c>
      <c r="H62" s="29"/>
      <c r="I62" s="29"/>
      <c r="J62" s="29"/>
      <c r="K62" s="29"/>
      <c r="L62" s="29"/>
      <c r="M62" s="29">
        <v>3</v>
      </c>
      <c r="N62" s="58"/>
      <c r="O62" s="25"/>
    </row>
    <row r="63" spans="1:17" ht="17.25" customHeight="1" x14ac:dyDescent="0.15">
      <c r="A63" s="118"/>
      <c r="B63" s="96"/>
      <c r="C63" s="123"/>
      <c r="D63" s="120"/>
      <c r="E63" s="120"/>
      <c r="F63" s="23">
        <v>4</v>
      </c>
      <c r="G63" s="17">
        <v>3</v>
      </c>
      <c r="H63" s="29"/>
      <c r="I63" s="29"/>
      <c r="J63" s="29"/>
      <c r="K63" s="29"/>
      <c r="L63" s="29"/>
      <c r="M63" s="29">
        <v>3</v>
      </c>
      <c r="N63" s="58"/>
      <c r="O63" s="25"/>
    </row>
    <row r="64" spans="1:17" ht="17.25" customHeight="1" x14ac:dyDescent="0.15">
      <c r="A64" s="118"/>
      <c r="B64" s="97"/>
      <c r="C64" s="135"/>
      <c r="D64" s="61"/>
      <c r="E64" s="61"/>
      <c r="F64" s="23">
        <v>4</v>
      </c>
      <c r="G64" s="17">
        <v>3</v>
      </c>
      <c r="H64" s="29"/>
      <c r="I64" s="29"/>
      <c r="J64" s="29"/>
      <c r="K64" s="29"/>
      <c r="L64" s="29"/>
      <c r="M64" s="29">
        <v>3</v>
      </c>
      <c r="N64" s="59"/>
      <c r="O64" s="25"/>
    </row>
    <row r="65" spans="1:15" ht="18.75" customHeight="1" x14ac:dyDescent="0.15">
      <c r="A65" s="118"/>
      <c r="B65" s="121" t="s">
        <v>79</v>
      </c>
      <c r="C65" s="126" t="s">
        <v>78</v>
      </c>
      <c r="D65" s="60" t="s">
        <v>61</v>
      </c>
      <c r="E65" s="60" t="s">
        <v>72</v>
      </c>
      <c r="F65" s="41">
        <v>3</v>
      </c>
      <c r="G65" s="17">
        <v>2</v>
      </c>
      <c r="H65" s="42"/>
      <c r="I65" s="42"/>
      <c r="J65" s="42"/>
      <c r="K65" s="42"/>
      <c r="L65" s="42"/>
      <c r="M65" s="42">
        <v>2</v>
      </c>
      <c r="N65" s="57">
        <v>4</v>
      </c>
      <c r="O65" s="40"/>
    </row>
    <row r="66" spans="1:15" ht="18.75" customHeight="1" thickBot="1" x14ac:dyDescent="0.2">
      <c r="A66" s="117"/>
      <c r="B66" s="140"/>
      <c r="C66" s="127"/>
      <c r="D66" s="128"/>
      <c r="E66" s="128"/>
      <c r="F66" s="31">
        <v>3</v>
      </c>
      <c r="G66" s="12">
        <v>2</v>
      </c>
      <c r="H66" s="10"/>
      <c r="I66" s="10"/>
      <c r="J66" s="10"/>
      <c r="K66" s="10"/>
      <c r="L66" s="10"/>
      <c r="M66" s="10">
        <v>2</v>
      </c>
      <c r="N66" s="129"/>
      <c r="O66" s="14"/>
    </row>
    <row r="67" spans="1:15" ht="17.25" customHeight="1" x14ac:dyDescent="0.15">
      <c r="A67" s="131" t="s">
        <v>28</v>
      </c>
      <c r="B67" s="132"/>
      <c r="C67" s="132"/>
      <c r="D67" s="132"/>
      <c r="E67" s="132"/>
      <c r="F67" s="132"/>
      <c r="G67" s="133"/>
      <c r="H67" s="6">
        <v>30</v>
      </c>
      <c r="I67" s="6">
        <v>30</v>
      </c>
      <c r="J67" s="6">
        <v>30</v>
      </c>
      <c r="K67" s="6">
        <f>SUM(K6:K38,K42:K66)</f>
        <v>30</v>
      </c>
      <c r="L67" s="6">
        <f>SUM(L6:L38,L42:L66)</f>
        <v>27</v>
      </c>
      <c r="M67" s="6">
        <f>SUM(M39:M66)</f>
        <v>27</v>
      </c>
      <c r="N67" s="6">
        <f>SUM(H67:M67)</f>
        <v>174</v>
      </c>
      <c r="O67" s="33"/>
    </row>
    <row r="68" spans="1:15" ht="17.25" customHeight="1" x14ac:dyDescent="0.15">
      <c r="A68" s="136" t="s">
        <v>17</v>
      </c>
      <c r="B68" s="137"/>
      <c r="C68" s="137"/>
      <c r="D68" s="137"/>
      <c r="E68" s="137"/>
      <c r="F68" s="137"/>
      <c r="G68" s="137"/>
      <c r="H68" s="7">
        <v>3</v>
      </c>
      <c r="I68" s="7">
        <v>3</v>
      </c>
      <c r="J68" s="7">
        <v>3</v>
      </c>
      <c r="K68" s="7">
        <v>3</v>
      </c>
      <c r="L68" s="7">
        <v>3</v>
      </c>
      <c r="M68" s="7">
        <v>3</v>
      </c>
      <c r="N68" s="27">
        <f t="shared" ref="N68:N69" si="1">SUM(H68:M68)</f>
        <v>18</v>
      </c>
      <c r="O68" s="28"/>
    </row>
    <row r="69" spans="1:15" ht="17.25" customHeight="1" x14ac:dyDescent="0.15">
      <c r="A69" s="136" t="s">
        <v>26</v>
      </c>
      <c r="B69" s="137"/>
      <c r="C69" s="137"/>
      <c r="D69" s="137"/>
      <c r="E69" s="137"/>
      <c r="F69" s="137"/>
      <c r="G69" s="137"/>
      <c r="H69" s="7">
        <f>SUM(H67:H68)</f>
        <v>33</v>
      </c>
      <c r="I69" s="7">
        <f t="shared" ref="I69:M69" si="2">SUM(I67:I68)</f>
        <v>33</v>
      </c>
      <c r="J69" s="7">
        <f t="shared" si="2"/>
        <v>33</v>
      </c>
      <c r="K69" s="7">
        <f t="shared" si="2"/>
        <v>33</v>
      </c>
      <c r="L69" s="7">
        <f t="shared" si="2"/>
        <v>30</v>
      </c>
      <c r="M69" s="7">
        <f t="shared" si="2"/>
        <v>30</v>
      </c>
      <c r="N69" s="27">
        <f t="shared" si="1"/>
        <v>192</v>
      </c>
      <c r="O69" s="28"/>
    </row>
    <row r="70" spans="1:15" ht="17.25" customHeight="1" thickBot="1" x14ac:dyDescent="0.2">
      <c r="A70" s="138" t="s">
        <v>27</v>
      </c>
      <c r="B70" s="139"/>
      <c r="C70" s="139"/>
      <c r="D70" s="139"/>
      <c r="E70" s="139"/>
      <c r="F70" s="139"/>
      <c r="G70" s="139"/>
      <c r="H70" s="134">
        <f>H69+I69</f>
        <v>66</v>
      </c>
      <c r="I70" s="134"/>
      <c r="J70" s="134">
        <f t="shared" ref="J70" si="3">J69+K69</f>
        <v>66</v>
      </c>
      <c r="K70" s="134"/>
      <c r="L70" s="134">
        <f t="shared" ref="L70" si="4">L69+M69</f>
        <v>60</v>
      </c>
      <c r="M70" s="134"/>
      <c r="N70" s="31">
        <f>L70+J70+H70</f>
        <v>192</v>
      </c>
      <c r="O70" s="14"/>
    </row>
  </sheetData>
  <mergeCells count="103">
    <mergeCell ref="A67:G67"/>
    <mergeCell ref="B58:B60"/>
    <mergeCell ref="C58:C60"/>
    <mergeCell ref="L70:M70"/>
    <mergeCell ref="B61:B64"/>
    <mergeCell ref="C61:C64"/>
    <mergeCell ref="D61:D64"/>
    <mergeCell ref="E61:E64"/>
    <mergeCell ref="A68:G68"/>
    <mergeCell ref="A69:G69"/>
    <mergeCell ref="A70:G70"/>
    <mergeCell ref="H70:I70"/>
    <mergeCell ref="J70:K70"/>
    <mergeCell ref="D58:D60"/>
    <mergeCell ref="D65:D66"/>
    <mergeCell ref="B65:B66"/>
    <mergeCell ref="A6:A39"/>
    <mergeCell ref="B6:B10"/>
    <mergeCell ref="A42:A66"/>
    <mergeCell ref="B29:B34"/>
    <mergeCell ref="N29:N34"/>
    <mergeCell ref="B21:B22"/>
    <mergeCell ref="N21:N22"/>
    <mergeCell ref="N42:N45"/>
    <mergeCell ref="N61:N64"/>
    <mergeCell ref="N58:N60"/>
    <mergeCell ref="E58:E60"/>
    <mergeCell ref="B37:B38"/>
    <mergeCell ref="N37:N38"/>
    <mergeCell ref="B52:B53"/>
    <mergeCell ref="C52:C53"/>
    <mergeCell ref="D52:D53"/>
    <mergeCell ref="B11:B15"/>
    <mergeCell ref="N11:N15"/>
    <mergeCell ref="A40:A41"/>
    <mergeCell ref="C65:C66"/>
    <mergeCell ref="E65:E66"/>
    <mergeCell ref="N65:N66"/>
    <mergeCell ref="B54:B57"/>
    <mergeCell ref="C54:C57"/>
    <mergeCell ref="B35:B36"/>
    <mergeCell ref="N35:N36"/>
    <mergeCell ref="O35:O36"/>
    <mergeCell ref="C46:C47"/>
    <mergeCell ref="C48:C50"/>
    <mergeCell ref="B46:B47"/>
    <mergeCell ref="B48:B50"/>
    <mergeCell ref="D46:D47"/>
    <mergeCell ref="E46:E47"/>
    <mergeCell ref="D48:D50"/>
    <mergeCell ref="E48:E50"/>
    <mergeCell ref="N46:N47"/>
    <mergeCell ref="N48:N50"/>
    <mergeCell ref="O37:O38"/>
    <mergeCell ref="B39:G39"/>
    <mergeCell ref="B42:B45"/>
    <mergeCell ref="C42:C45"/>
    <mergeCell ref="D42:D45"/>
    <mergeCell ref="E42:E45"/>
    <mergeCell ref="B40:B41"/>
    <mergeCell ref="E40:E41"/>
    <mergeCell ref="N40:N41"/>
    <mergeCell ref="O40:O41"/>
    <mergeCell ref="B25:B28"/>
    <mergeCell ref="N25:N28"/>
    <mergeCell ref="O25:O28"/>
    <mergeCell ref="B23:B24"/>
    <mergeCell ref="N23:N24"/>
    <mergeCell ref="O23:O24"/>
    <mergeCell ref="B16:B20"/>
    <mergeCell ref="N16:N20"/>
    <mergeCell ref="O16:O20"/>
    <mergeCell ref="A1:O1"/>
    <mergeCell ref="A2:C2"/>
    <mergeCell ref="J2:O2"/>
    <mergeCell ref="A3:A5"/>
    <mergeCell ref="B3:B5"/>
    <mergeCell ref="C3:C5"/>
    <mergeCell ref="D3:D5"/>
    <mergeCell ref="E3:E5"/>
    <mergeCell ref="F3:F5"/>
    <mergeCell ref="G3:G5"/>
    <mergeCell ref="H3:I3"/>
    <mergeCell ref="J3:K3"/>
    <mergeCell ref="L3:M3"/>
    <mergeCell ref="I4:I5"/>
    <mergeCell ref="J4:J5"/>
    <mergeCell ref="K4:K5"/>
    <mergeCell ref="D54:D57"/>
    <mergeCell ref="E54:E57"/>
    <mergeCell ref="N54:N57"/>
    <mergeCell ref="N52:N53"/>
    <mergeCell ref="E52:E53"/>
    <mergeCell ref="N3:N5"/>
    <mergeCell ref="O3:O5"/>
    <mergeCell ref="H4:H5"/>
    <mergeCell ref="O21:O22"/>
    <mergeCell ref="N6:N10"/>
    <mergeCell ref="O6:O10"/>
    <mergeCell ref="L4:L5"/>
    <mergeCell ref="M4:M5"/>
    <mergeCell ref="O11:O15"/>
    <mergeCell ref="O29:O34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최종</vt:lpstr>
      <vt:lpstr>최종!Print_Area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2025-04-14T10:04:25Z</cp:lastPrinted>
  <dcterms:created xsi:type="dcterms:W3CDTF">2002-10-10T04:04:10Z</dcterms:created>
  <dcterms:modified xsi:type="dcterms:W3CDTF">2025-11-26T11:21:48Z</dcterms:modified>
  <cp:version>0906.0100.01</cp:version>
</cp:coreProperties>
</file>