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업무분장(교육과정부)\2026년\교육과정편성\"/>
    </mc:Choice>
  </mc:AlternateContent>
  <xr:revisionPtr revIDLastSave="0" documentId="13_ncr:1_{BF8C76DA-3A20-4D06-812B-6B755F2B1D61}" xr6:coauthVersionLast="47" xr6:coauthVersionMax="47" xr10:uidLastSave="{00000000-0000-0000-0000-000000000000}"/>
  <bookViews>
    <workbookView xWindow="13455" yWindow="210" windowWidth="15105" windowHeight="15270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6" l="1"/>
  <c r="M56" i="16" l="1"/>
  <c r="M55" i="16" l="1"/>
  <c r="M54" i="16"/>
  <c r="M53" i="16"/>
  <c r="N38" i="16"/>
  <c r="L38" i="16"/>
  <c r="K38" i="16"/>
  <c r="J38" i="16"/>
  <c r="I38" i="16"/>
  <c r="H38" i="16"/>
  <c r="G38" i="16"/>
  <c r="M38" i="16" l="1"/>
</calcChain>
</file>

<file path=xl/sharedStrings.xml><?xml version="1.0" encoding="utf-8"?>
<sst xmlns="http://schemas.openxmlformats.org/spreadsheetml/2006/main" count="144" uniqueCount="91">
  <si>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</si>
  <si>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</si>
  <si>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</si>
  <si>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</si>
  <si>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</si>
  <si>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</si>
  <si>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</si>
  <si>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</si>
  <si>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</si>
  <si>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</si>
  <si>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</si>
  <si>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</si>
  <si>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</si>
  <si>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</si>
  <si>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</si>
  <si>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</si>
  <si>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</si>
  <si>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</si>
  <si>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사회</t>
    <phoneticPr fontId="7" type="noConversion"/>
  </si>
  <si>
    <t>과학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</si>
  <si>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</si>
  <si>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</si>
  <si>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</si>
  <si>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택4
(3)
12</t>
    <phoneticPr fontId="7" type="noConversion"/>
  </si>
  <si>
    <t>예술</t>
    <phoneticPr fontId="7" type="noConversion"/>
  </si>
  <si>
    <t>택1
2</t>
    <phoneticPr fontId="7" type="noConversion"/>
  </si>
  <si>
    <t>체육</t>
    <phoneticPr fontId="7" type="noConversion"/>
  </si>
  <si>
    <t>택3
(3)
9</t>
    <phoneticPr fontId="7" type="noConversion"/>
  </si>
  <si>
    <t>학교유형: 일반고</t>
    <phoneticPr fontId="7" type="noConversion"/>
  </si>
  <si>
    <t>2026학년도 입학생 3개년 교육과정 편성표</t>
    <phoneticPr fontId="7" type="noConversion"/>
  </si>
  <si>
    <t>학교지정</t>
    <phoneticPr fontId="7" type="noConversion"/>
  </si>
  <si>
    <t>공통국어1</t>
  </si>
  <si>
    <t>공통국어2</t>
  </si>
  <si>
    <t>문학</t>
  </si>
  <si>
    <t>독서와 작문</t>
  </si>
  <si>
    <t>화법과 언어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</si>
  <si>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</si>
  <si>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</si>
  <si>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</si>
  <si>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</si>
  <si>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</si>
  <si>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</si>
  <si>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</si>
  <si>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</si>
  <si>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</si>
  <si>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심화 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</si>
  <si>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</si>
  <si>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</si>
  <si>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</si>
  <si>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</si>
  <si>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</si>
  <si>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</si>
  <si>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</si>
  <si>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</si>
  <si>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공통</t>
  </si>
  <si>
    <t>일반</t>
  </si>
  <si>
    <t>진로</t>
  </si>
  <si>
    <t>체육1</t>
  </si>
  <si>
    <t>체육2</t>
  </si>
  <si>
    <t>스포츠 생활1</t>
  </si>
  <si>
    <t>스포츠 생활2</t>
  </si>
  <si>
    <t>스포츠 문화</t>
  </si>
  <si>
    <t>스포츠 과학</t>
  </si>
  <si>
    <t>음악</t>
  </si>
  <si>
    <t>미술</t>
  </si>
  <si>
    <t>미술 감상과 비평</t>
  </si>
  <si>
    <t>융합</t>
  </si>
  <si>
    <t>학생선택</t>
    <phoneticPr fontId="7" type="noConversion"/>
  </si>
  <si>
    <t>국어
영어
수학</t>
    <phoneticPr fontId="7" type="noConversion"/>
  </si>
  <si>
    <t>사회
과학</t>
    <phoneticPr fontId="7" type="noConversion"/>
  </si>
  <si>
    <t>기술·가정/
정보/
제2외국어/
한문/
교양</t>
    <phoneticPr fontId="7" type="noConversion"/>
  </si>
  <si>
    <t>예 술</t>
    <phoneticPr fontId="7" type="noConversion"/>
  </si>
  <si>
    <t>주제 탐구 독서/언어생활탐구/직무 의사소통</t>
  </si>
  <si>
    <t>진로/융합</t>
  </si>
  <si>
    <t>기하/미적분Ⅱ/
영어 독해와 작문/영어 발표와 토론/
영미 문학 읽기</t>
  </si>
  <si>
    <t>일반/진로</t>
  </si>
  <si>
    <t>경제 수학/인공지능 수학/직무 수학</t>
  </si>
  <si>
    <t>문학과 영상/독서 토론과 글쓰기/매체 의사소통/
수학과 문화/실용 통계/수학과제 탐구
심화영어/영미 문학 읽기/영어 발표와 토론/</t>
  </si>
  <si>
    <t>실생활 영어 회화/미디어 영어/
세계 문화와 영어</t>
  </si>
  <si>
    <t>물리학/화학/생명과학/지구과학/
세계시민과 지리/세계사/사회와 문화/
현대사회와 윤리/</t>
  </si>
  <si>
    <t xml:space="preserve">
물리학/화학/생명과학/지구과학/
세계시민과 지리/세계사/사회와 문화/
현대사회와 윤리/
</t>
  </si>
  <si>
    <t>역학과 에너지/전자기와 양자/
물질과 에너지/화학 반응의 세계/
세포와 물질대사/생물의 유전/
지구시스템과학/행성우주과학/한국지리 탐구/도시의 미래 탐구/
동아시아 역사 기행/정치/법과 사회/경제/
윤리와 사상/인문학과 윤리, 국제 관계의 이해</t>
  </si>
  <si>
    <t>여행지리/역사로 탐구하는 현대 세계/
사회문제 탐구/금융과 경제생활/
윤리문제 탐구/기후변화와 지속가능한 세계/
과학의 역사와 문화/기후변화와 환경생태/
융합과학 탐구</t>
  </si>
  <si>
    <t>논술/종교와 생활/현대사회와 종교/
진로와 직업/생태와 환경</t>
  </si>
  <si>
    <t>일반/진로
/융합</t>
  </si>
  <si>
    <t>음악 감상과 비평/음악 연주와 창작/
음악과 미디어/미술 창작/미술과 매체</t>
  </si>
  <si>
    <t>택1
3</t>
    <phoneticPr fontId="7" type="noConversion"/>
  </si>
  <si>
    <t>택2
(3)
6</t>
    <phoneticPr fontId="7" type="noConversion"/>
  </si>
  <si>
    <t xml:space="preserve">                                ( 문화 )고등학교</t>
    <phoneticPr fontId="7" type="noConversion"/>
  </si>
  <si>
    <t>한문/한문 고전 읽기/언어생활과 한자/
인간과 철학/인간과 심리/인간과 경제활동</t>
    <phoneticPr fontId="7" type="noConversion"/>
  </si>
  <si>
    <t>일본어/일본어 회화/중국어/정보/데이터 과학/인공지능 기초/소프트웨어와 생활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</si>
</sst>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86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6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Font="1" applyBorder="1" applyAlignment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shrinkToFi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74" t="s">
        <v>29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24" customHeight="1" x14ac:dyDescent="0.3">
      <c r="A2" s="27" t="s">
        <v>28</v>
      </c>
      <c r="B2" s="27"/>
      <c r="C2" s="27"/>
      <c r="D2" s="27"/>
      <c r="E2" s="28"/>
      <c r="F2" s="28"/>
      <c r="G2" s="28"/>
      <c r="H2" s="28"/>
      <c r="I2" s="75" t="s">
        <v>88</v>
      </c>
      <c r="J2" s="75"/>
      <c r="K2" s="75"/>
      <c r="L2" s="75"/>
      <c r="M2" s="75"/>
      <c r="N2" s="75"/>
    </row>
    <row r="3" spans="1:14" ht="13.5" customHeight="1" x14ac:dyDescent="0.15">
      <c r="A3" s="76" t="s">
        <v>3</v>
      </c>
      <c r="B3" s="72" t="s">
        <v>6</v>
      </c>
      <c r="C3" s="79" t="s">
        <v>8</v>
      </c>
      <c r="D3" s="79" t="s">
        <v>7</v>
      </c>
      <c r="E3" s="79" t="s">
        <v>12</v>
      </c>
      <c r="F3" s="79" t="s">
        <v>13</v>
      </c>
      <c r="G3" s="72" t="s">
        <v>1</v>
      </c>
      <c r="H3" s="72"/>
      <c r="I3" s="72" t="s">
        <v>5</v>
      </c>
      <c r="J3" s="72"/>
      <c r="K3" s="72" t="s">
        <v>4</v>
      </c>
      <c r="L3" s="72"/>
      <c r="M3" s="79" t="s">
        <v>9</v>
      </c>
      <c r="N3" s="81" t="s">
        <v>14</v>
      </c>
    </row>
    <row r="4" spans="1:14" x14ac:dyDescent="0.15">
      <c r="A4" s="77"/>
      <c r="B4" s="72"/>
      <c r="C4" s="79"/>
      <c r="D4" s="79"/>
      <c r="E4" s="79"/>
      <c r="F4" s="79"/>
      <c r="G4" s="72" t="s">
        <v>0</v>
      </c>
      <c r="H4" s="72" t="s">
        <v>2</v>
      </c>
      <c r="I4" s="72" t="s">
        <v>0</v>
      </c>
      <c r="J4" s="72" t="s">
        <v>2</v>
      </c>
      <c r="K4" s="72" t="s">
        <v>0</v>
      </c>
      <c r="L4" s="72" t="s">
        <v>2</v>
      </c>
      <c r="M4" s="72"/>
      <c r="N4" s="82"/>
    </row>
    <row r="5" spans="1:14" ht="14.25" thickBot="1" x14ac:dyDescent="0.2">
      <c r="A5" s="78"/>
      <c r="B5" s="73"/>
      <c r="C5" s="80"/>
      <c r="D5" s="80"/>
      <c r="E5" s="80"/>
      <c r="F5" s="80"/>
      <c r="G5" s="73"/>
      <c r="H5" s="73"/>
      <c r="I5" s="73"/>
      <c r="J5" s="73"/>
      <c r="K5" s="73"/>
      <c r="L5" s="73"/>
      <c r="M5" s="73"/>
      <c r="N5" s="83"/>
    </row>
    <row r="6" spans="1:14" ht="17.25" customHeight="1" x14ac:dyDescent="0.15">
      <c r="A6" s="60" t="s">
        <v>30</v>
      </c>
      <c r="B6" s="62" t="s">
        <v>20</v>
      </c>
      <c r="C6" s="14" t="s">
        <v>31</v>
      </c>
      <c r="D6" s="14" t="s">
        <v>54</v>
      </c>
      <c r="E6" s="14">
        <v>4</v>
      </c>
      <c r="F6" s="14">
        <v>4</v>
      </c>
      <c r="G6" s="14">
        <v>4</v>
      </c>
      <c r="H6" s="14"/>
      <c r="I6" s="6"/>
      <c r="J6" s="14"/>
      <c r="K6" s="14"/>
      <c r="L6" s="14"/>
      <c r="M6" s="64">
        <v>20</v>
      </c>
      <c r="N6" s="65">
        <v>8</v>
      </c>
    </row>
    <row r="7" spans="1:14" ht="17.25" customHeight="1" x14ac:dyDescent="0.15">
      <c r="A7" s="61"/>
      <c r="B7" s="63"/>
      <c r="C7" s="12" t="s">
        <v>32</v>
      </c>
      <c r="D7" s="12" t="s">
        <v>54</v>
      </c>
      <c r="E7" s="12">
        <v>4</v>
      </c>
      <c r="F7" s="12">
        <v>4</v>
      </c>
      <c r="G7" s="12"/>
      <c r="H7" s="12">
        <v>4</v>
      </c>
      <c r="I7" s="12"/>
      <c r="J7" s="12"/>
      <c r="K7" s="12"/>
      <c r="L7" s="12"/>
      <c r="M7" s="56"/>
      <c r="N7" s="57"/>
    </row>
    <row r="8" spans="1:14" ht="17.25" customHeight="1" x14ac:dyDescent="0.15">
      <c r="A8" s="61"/>
      <c r="B8" s="63"/>
      <c r="C8" s="12" t="s">
        <v>33</v>
      </c>
      <c r="D8" s="12" t="s">
        <v>55</v>
      </c>
      <c r="E8" s="12">
        <v>4</v>
      </c>
      <c r="F8" s="12">
        <v>4</v>
      </c>
      <c r="G8" s="12"/>
      <c r="H8" s="12"/>
      <c r="I8" s="12">
        <v>4</v>
      </c>
      <c r="J8" s="12"/>
      <c r="K8" s="12"/>
      <c r="L8" s="12"/>
      <c r="M8" s="56"/>
      <c r="N8" s="57"/>
    </row>
    <row r="9" spans="1:14" ht="17.25" customHeight="1" x14ac:dyDescent="0.15">
      <c r="A9" s="61"/>
      <c r="B9" s="63"/>
      <c r="C9" s="12" t="s">
        <v>34</v>
      </c>
      <c r="D9" s="12" t="s">
        <v>55</v>
      </c>
      <c r="E9" s="12">
        <v>4</v>
      </c>
      <c r="F9" s="12">
        <v>4</v>
      </c>
      <c r="G9" s="12"/>
      <c r="H9" s="12"/>
      <c r="I9" s="12"/>
      <c r="J9" s="12">
        <v>4</v>
      </c>
      <c r="K9" s="12"/>
      <c r="L9" s="12"/>
      <c r="M9" s="56"/>
      <c r="N9" s="57"/>
    </row>
    <row r="10" spans="1:14" ht="17.25" customHeight="1" x14ac:dyDescent="0.15">
      <c r="A10" s="61"/>
      <c r="B10" s="63"/>
      <c r="C10" s="12" t="s">
        <v>35</v>
      </c>
      <c r="D10" s="12" t="s">
        <v>55</v>
      </c>
      <c r="E10" s="12">
        <v>4</v>
      </c>
      <c r="F10" s="12">
        <v>4</v>
      </c>
      <c r="G10" s="12"/>
      <c r="H10" s="12"/>
      <c r="I10" s="12"/>
      <c r="J10" s="12"/>
      <c r="K10" s="12">
        <v>4</v>
      </c>
      <c r="L10" s="12"/>
      <c r="M10" s="56"/>
      <c r="N10" s="57"/>
    </row>
    <row r="11" spans="1:14" ht="17.25" customHeight="1" x14ac:dyDescent="0.15">
      <c r="A11" s="61"/>
      <c r="B11" s="63" t="s">
        <v>21</v>
      </c>
      <c r="C11" s="12" t="s">
        <v>36</v>
      </c>
      <c r="D11" s="12" t="s">
        <v>54</v>
      </c>
      <c r="E11" s="12">
        <v>4</v>
      </c>
      <c r="F11" s="12">
        <v>4</v>
      </c>
      <c r="G11" s="12">
        <v>4</v>
      </c>
      <c r="H11" s="12"/>
      <c r="I11" s="12"/>
      <c r="J11" s="12"/>
      <c r="K11" s="12"/>
      <c r="L11" s="12"/>
      <c r="M11" s="58">
        <v>19</v>
      </c>
      <c r="N11" s="57">
        <v>8</v>
      </c>
    </row>
    <row r="12" spans="1:14" ht="17.25" customHeight="1" x14ac:dyDescent="0.15">
      <c r="A12" s="61"/>
      <c r="B12" s="63"/>
      <c r="C12" s="12" t="s">
        <v>37</v>
      </c>
      <c r="D12" s="12" t="s">
        <v>54</v>
      </c>
      <c r="E12" s="12">
        <v>4</v>
      </c>
      <c r="F12" s="12">
        <v>4</v>
      </c>
      <c r="G12" s="12"/>
      <c r="H12" s="12">
        <v>4</v>
      </c>
      <c r="I12" s="7"/>
      <c r="J12" s="12"/>
      <c r="K12" s="12"/>
      <c r="L12" s="12"/>
      <c r="M12" s="58"/>
      <c r="N12" s="57"/>
    </row>
    <row r="13" spans="1:14" ht="17.25" customHeight="1" x14ac:dyDescent="0.15">
      <c r="A13" s="61"/>
      <c r="B13" s="63"/>
      <c r="C13" s="12" t="s">
        <v>38</v>
      </c>
      <c r="D13" s="12" t="s">
        <v>55</v>
      </c>
      <c r="E13" s="12">
        <v>4</v>
      </c>
      <c r="F13" s="12">
        <v>4</v>
      </c>
      <c r="G13" s="12"/>
      <c r="H13" s="12"/>
      <c r="I13" s="7">
        <v>4</v>
      </c>
      <c r="J13" s="12"/>
      <c r="K13" s="12"/>
      <c r="L13" s="12"/>
      <c r="M13" s="58"/>
      <c r="N13" s="57"/>
    </row>
    <row r="14" spans="1:14" ht="17.25" customHeight="1" x14ac:dyDescent="0.15">
      <c r="A14" s="61"/>
      <c r="B14" s="63"/>
      <c r="C14" s="12" t="s">
        <v>39</v>
      </c>
      <c r="D14" s="12" t="s">
        <v>55</v>
      </c>
      <c r="E14" s="12">
        <v>4</v>
      </c>
      <c r="F14" s="12">
        <v>4</v>
      </c>
      <c r="G14" s="12"/>
      <c r="H14" s="12"/>
      <c r="I14" s="12"/>
      <c r="J14" s="12">
        <v>4</v>
      </c>
      <c r="K14" s="12"/>
      <c r="L14" s="12"/>
      <c r="M14" s="58"/>
      <c r="N14" s="57"/>
    </row>
    <row r="15" spans="1:14" ht="17.25" customHeight="1" x14ac:dyDescent="0.15">
      <c r="A15" s="61"/>
      <c r="B15" s="63"/>
      <c r="C15" s="12" t="s">
        <v>40</v>
      </c>
      <c r="D15" s="12" t="s">
        <v>55</v>
      </c>
      <c r="E15" s="12">
        <v>4</v>
      </c>
      <c r="F15" s="12">
        <v>3</v>
      </c>
      <c r="G15" s="12"/>
      <c r="H15" s="12"/>
      <c r="I15" s="12"/>
      <c r="J15" s="12">
        <v>3</v>
      </c>
      <c r="K15" s="12"/>
      <c r="L15" s="12"/>
      <c r="M15" s="56"/>
      <c r="N15" s="57"/>
    </row>
    <row r="16" spans="1:14" ht="17.25" customHeight="1" x14ac:dyDescent="0.15">
      <c r="A16" s="61"/>
      <c r="B16" s="55" t="s">
        <v>22</v>
      </c>
      <c r="C16" s="12" t="s">
        <v>41</v>
      </c>
      <c r="D16" s="12" t="s">
        <v>54</v>
      </c>
      <c r="E16" s="12">
        <v>4</v>
      </c>
      <c r="F16" s="12">
        <v>3</v>
      </c>
      <c r="G16" s="12">
        <v>3</v>
      </c>
      <c r="H16" s="12"/>
      <c r="I16" s="12"/>
      <c r="J16" s="12"/>
      <c r="K16" s="12"/>
      <c r="L16" s="12"/>
      <c r="M16" s="56">
        <v>18</v>
      </c>
      <c r="N16" s="57">
        <v>8</v>
      </c>
    </row>
    <row r="17" spans="1:14" ht="17.25" customHeight="1" x14ac:dyDescent="0.15">
      <c r="A17" s="61"/>
      <c r="B17" s="55"/>
      <c r="C17" s="12" t="s">
        <v>42</v>
      </c>
      <c r="D17" s="12" t="s">
        <v>54</v>
      </c>
      <c r="E17" s="12">
        <v>4</v>
      </c>
      <c r="F17" s="12">
        <v>3</v>
      </c>
      <c r="G17" s="12"/>
      <c r="H17" s="12">
        <v>3</v>
      </c>
      <c r="I17" s="12"/>
      <c r="J17" s="12"/>
      <c r="K17" s="12"/>
      <c r="L17" s="12"/>
      <c r="M17" s="56"/>
      <c r="N17" s="57"/>
    </row>
    <row r="18" spans="1:14" ht="17.25" customHeight="1" x14ac:dyDescent="0.15">
      <c r="A18" s="61"/>
      <c r="B18" s="55"/>
      <c r="C18" s="12" t="s">
        <v>43</v>
      </c>
      <c r="D18" s="12" t="s">
        <v>55</v>
      </c>
      <c r="E18" s="12">
        <v>4</v>
      </c>
      <c r="F18" s="12">
        <v>4</v>
      </c>
      <c r="G18" s="12"/>
      <c r="H18" s="12"/>
      <c r="I18" s="12">
        <v>4</v>
      </c>
      <c r="J18" s="12"/>
      <c r="K18" s="12"/>
      <c r="L18" s="12"/>
      <c r="M18" s="56"/>
      <c r="N18" s="57"/>
    </row>
    <row r="19" spans="1:14" ht="17.25" customHeight="1" x14ac:dyDescent="0.15">
      <c r="A19" s="61"/>
      <c r="B19" s="55"/>
      <c r="C19" s="12" t="s">
        <v>44</v>
      </c>
      <c r="D19" s="12" t="s">
        <v>55</v>
      </c>
      <c r="E19" s="12">
        <v>4</v>
      </c>
      <c r="F19" s="12">
        <v>4</v>
      </c>
      <c r="G19" s="12"/>
      <c r="H19" s="12"/>
      <c r="I19" s="13"/>
      <c r="J19" s="12">
        <v>4</v>
      </c>
      <c r="K19" s="12"/>
      <c r="L19" s="12"/>
      <c r="M19" s="56"/>
      <c r="N19" s="57"/>
    </row>
    <row r="20" spans="1:14" ht="17.25" customHeight="1" x14ac:dyDescent="0.15">
      <c r="A20" s="61"/>
      <c r="B20" s="55"/>
      <c r="C20" s="12" t="s">
        <v>45</v>
      </c>
      <c r="D20" s="12" t="s">
        <v>56</v>
      </c>
      <c r="E20" s="12">
        <v>4</v>
      </c>
      <c r="F20" s="12">
        <v>4</v>
      </c>
      <c r="G20" s="12"/>
      <c r="H20" s="12"/>
      <c r="I20" s="13"/>
      <c r="J20" s="12"/>
      <c r="K20" s="12"/>
      <c r="L20" s="12">
        <v>4</v>
      </c>
      <c r="M20" s="56"/>
      <c r="N20" s="57"/>
    </row>
    <row r="21" spans="1:14" ht="17.25" customHeight="1" x14ac:dyDescent="0.15">
      <c r="A21" s="61"/>
      <c r="B21" s="66" t="s">
        <v>18</v>
      </c>
      <c r="C21" s="12" t="s">
        <v>46</v>
      </c>
      <c r="D21" s="12" t="s">
        <v>54</v>
      </c>
      <c r="E21" s="12">
        <v>3</v>
      </c>
      <c r="F21" s="12">
        <v>3</v>
      </c>
      <c r="G21" s="12">
        <v>3</v>
      </c>
      <c r="H21" s="12"/>
      <c r="I21" s="12"/>
      <c r="J21" s="3"/>
      <c r="K21" s="12"/>
      <c r="L21" s="12"/>
      <c r="M21" s="50">
        <v>6</v>
      </c>
      <c r="N21" s="70">
        <v>6</v>
      </c>
    </row>
    <row r="22" spans="1:14" ht="17.25" customHeight="1" x14ac:dyDescent="0.15">
      <c r="A22" s="61"/>
      <c r="B22" s="67"/>
      <c r="C22" s="12" t="s">
        <v>47</v>
      </c>
      <c r="D22" s="12" t="s">
        <v>54</v>
      </c>
      <c r="E22" s="12">
        <v>3</v>
      </c>
      <c r="F22" s="12">
        <v>3</v>
      </c>
      <c r="G22" s="12"/>
      <c r="H22" s="12">
        <v>3</v>
      </c>
      <c r="I22" s="12"/>
      <c r="J22" s="3"/>
      <c r="K22" s="12"/>
      <c r="L22" s="12"/>
      <c r="M22" s="69"/>
      <c r="N22" s="71"/>
    </row>
    <row r="23" spans="1:14" ht="17.25" customHeight="1" x14ac:dyDescent="0.15">
      <c r="A23" s="61"/>
      <c r="B23" s="67"/>
      <c r="C23" s="12" t="s">
        <v>48</v>
      </c>
      <c r="D23" s="12" t="s">
        <v>54</v>
      </c>
      <c r="E23" s="12">
        <v>4</v>
      </c>
      <c r="F23" s="12">
        <v>3</v>
      </c>
      <c r="G23" s="12">
        <v>3</v>
      </c>
      <c r="H23" s="12"/>
      <c r="I23" s="12"/>
      <c r="J23" s="12"/>
      <c r="K23" s="3"/>
      <c r="L23" s="3"/>
      <c r="M23" s="50">
        <v>6</v>
      </c>
      <c r="N23" s="57">
        <v>8</v>
      </c>
    </row>
    <row r="24" spans="1:14" ht="17.25" customHeight="1" x14ac:dyDescent="0.15">
      <c r="A24" s="61"/>
      <c r="B24" s="68"/>
      <c r="C24" s="12" t="s">
        <v>49</v>
      </c>
      <c r="D24" s="12" t="s">
        <v>54</v>
      </c>
      <c r="E24" s="12">
        <v>4</v>
      </c>
      <c r="F24" s="12">
        <v>3</v>
      </c>
      <c r="G24" s="12"/>
      <c r="H24" s="12">
        <v>3</v>
      </c>
      <c r="I24" s="12"/>
      <c r="J24" s="12"/>
      <c r="K24" s="3"/>
      <c r="L24" s="3"/>
      <c r="M24" s="69"/>
      <c r="N24" s="57"/>
    </row>
    <row r="25" spans="1:14" ht="17.25" customHeight="1" x14ac:dyDescent="0.15">
      <c r="A25" s="61"/>
      <c r="B25" s="63" t="s">
        <v>19</v>
      </c>
      <c r="C25" s="12" t="s">
        <v>50</v>
      </c>
      <c r="D25" s="12" t="s">
        <v>54</v>
      </c>
      <c r="E25" s="12">
        <v>4</v>
      </c>
      <c r="F25" s="12">
        <v>3</v>
      </c>
      <c r="G25" s="12">
        <v>3</v>
      </c>
      <c r="H25" s="12"/>
      <c r="I25" s="12"/>
      <c r="J25" s="12"/>
      <c r="K25" s="3"/>
      <c r="L25" s="3"/>
      <c r="M25" s="58">
        <v>8</v>
      </c>
      <c r="N25" s="57">
        <v>10</v>
      </c>
    </row>
    <row r="26" spans="1:14" ht="17.25" customHeight="1" x14ac:dyDescent="0.15">
      <c r="A26" s="61"/>
      <c r="B26" s="63"/>
      <c r="C26" s="12" t="s">
        <v>51</v>
      </c>
      <c r="D26" s="12" t="s">
        <v>54</v>
      </c>
      <c r="E26" s="12">
        <v>4</v>
      </c>
      <c r="F26" s="12">
        <v>3</v>
      </c>
      <c r="G26" s="12"/>
      <c r="H26" s="12">
        <v>3</v>
      </c>
      <c r="I26" s="12"/>
      <c r="J26" s="12"/>
      <c r="K26" s="3"/>
      <c r="L26" s="3"/>
      <c r="M26" s="58"/>
      <c r="N26" s="57"/>
    </row>
    <row r="27" spans="1:14" ht="17.25" customHeight="1" x14ac:dyDescent="0.15">
      <c r="A27" s="61"/>
      <c r="B27" s="63"/>
      <c r="C27" s="12" t="s">
        <v>52</v>
      </c>
      <c r="D27" s="12" t="s">
        <v>54</v>
      </c>
      <c r="E27" s="12">
        <v>1</v>
      </c>
      <c r="F27" s="12">
        <v>1</v>
      </c>
      <c r="G27" s="12">
        <v>1</v>
      </c>
      <c r="H27" s="12"/>
      <c r="I27" s="12"/>
      <c r="J27" s="12"/>
      <c r="K27" s="3"/>
      <c r="L27" s="3"/>
      <c r="M27" s="58"/>
      <c r="N27" s="57"/>
    </row>
    <row r="28" spans="1:14" ht="17.25" customHeight="1" x14ac:dyDescent="0.15">
      <c r="A28" s="61"/>
      <c r="B28" s="63"/>
      <c r="C28" s="12" t="s">
        <v>53</v>
      </c>
      <c r="D28" s="12" t="s">
        <v>54</v>
      </c>
      <c r="E28" s="12">
        <v>1</v>
      </c>
      <c r="F28" s="12">
        <v>1</v>
      </c>
      <c r="G28" s="12"/>
      <c r="H28" s="12">
        <v>1</v>
      </c>
      <c r="I28" s="12"/>
      <c r="J28" s="12"/>
      <c r="K28" s="12"/>
      <c r="L28" s="12"/>
      <c r="M28" s="56"/>
      <c r="N28" s="57"/>
    </row>
    <row r="29" spans="1:14" ht="17.25" customHeight="1" x14ac:dyDescent="0.15">
      <c r="A29" s="61"/>
      <c r="B29" s="55" t="s">
        <v>26</v>
      </c>
      <c r="C29" s="12" t="s">
        <v>57</v>
      </c>
      <c r="D29" s="12" t="s">
        <v>55</v>
      </c>
      <c r="E29" s="12">
        <v>3</v>
      </c>
      <c r="F29" s="12">
        <v>2</v>
      </c>
      <c r="G29" s="12">
        <v>2</v>
      </c>
      <c r="H29" s="12"/>
      <c r="I29" s="12"/>
      <c r="J29" s="12"/>
      <c r="K29" s="12"/>
      <c r="L29" s="12"/>
      <c r="M29" s="56">
        <v>11</v>
      </c>
      <c r="N29" s="57">
        <v>10</v>
      </c>
    </row>
    <row r="30" spans="1:14" ht="17.25" customHeight="1" x14ac:dyDescent="0.15">
      <c r="A30" s="61"/>
      <c r="B30" s="55"/>
      <c r="C30" s="12" t="s">
        <v>58</v>
      </c>
      <c r="D30" s="12" t="s">
        <v>55</v>
      </c>
      <c r="E30" s="12">
        <v>3</v>
      </c>
      <c r="F30" s="12">
        <v>2</v>
      </c>
      <c r="G30" s="12"/>
      <c r="H30" s="12">
        <v>2</v>
      </c>
      <c r="I30" s="12"/>
      <c r="J30" s="12"/>
      <c r="K30" s="12"/>
      <c r="L30" s="12"/>
      <c r="M30" s="56"/>
      <c r="N30" s="57"/>
    </row>
    <row r="31" spans="1:14" ht="17.25" customHeight="1" x14ac:dyDescent="0.15">
      <c r="A31" s="61"/>
      <c r="B31" s="55"/>
      <c r="C31" s="12" t="s">
        <v>59</v>
      </c>
      <c r="D31" s="12" t="s">
        <v>66</v>
      </c>
      <c r="E31" s="12">
        <v>3</v>
      </c>
      <c r="F31" s="12">
        <v>2</v>
      </c>
      <c r="G31" s="12"/>
      <c r="H31" s="12"/>
      <c r="I31" s="12">
        <v>2</v>
      </c>
      <c r="J31" s="12"/>
      <c r="K31" s="12"/>
      <c r="L31" s="12"/>
      <c r="M31" s="56"/>
      <c r="N31" s="57"/>
    </row>
    <row r="32" spans="1:14" ht="17.25" customHeight="1" x14ac:dyDescent="0.15">
      <c r="A32" s="61"/>
      <c r="B32" s="55"/>
      <c r="C32" s="12" t="s">
        <v>60</v>
      </c>
      <c r="D32" s="12" t="s">
        <v>66</v>
      </c>
      <c r="E32" s="12">
        <v>3</v>
      </c>
      <c r="F32" s="12">
        <v>2</v>
      </c>
      <c r="G32" s="12"/>
      <c r="H32" s="12"/>
      <c r="I32" s="12"/>
      <c r="J32" s="12">
        <v>2</v>
      </c>
      <c r="K32" s="12"/>
      <c r="L32" s="12"/>
      <c r="M32" s="56"/>
      <c r="N32" s="57"/>
    </row>
    <row r="33" spans="1:14" ht="17.25" customHeight="1" x14ac:dyDescent="0.15">
      <c r="A33" s="61"/>
      <c r="B33" s="55"/>
      <c r="C33" s="12" t="s">
        <v>61</v>
      </c>
      <c r="D33" s="12" t="s">
        <v>56</v>
      </c>
      <c r="E33" s="12">
        <v>2</v>
      </c>
      <c r="F33" s="12">
        <v>2</v>
      </c>
      <c r="G33" s="12"/>
      <c r="H33" s="12"/>
      <c r="I33" s="12"/>
      <c r="J33" s="12"/>
      <c r="K33" s="12">
        <v>2</v>
      </c>
      <c r="L33" s="12"/>
      <c r="M33" s="56"/>
      <c r="N33" s="57"/>
    </row>
    <row r="34" spans="1:14" ht="17.25" customHeight="1" x14ac:dyDescent="0.15">
      <c r="A34" s="61"/>
      <c r="B34" s="55"/>
      <c r="C34" s="12" t="s">
        <v>62</v>
      </c>
      <c r="D34" s="12" t="s">
        <v>56</v>
      </c>
      <c r="E34" s="12">
        <v>2</v>
      </c>
      <c r="F34" s="12">
        <v>1</v>
      </c>
      <c r="G34" s="12"/>
      <c r="H34" s="12"/>
      <c r="I34" s="12"/>
      <c r="J34" s="12"/>
      <c r="K34" s="12"/>
      <c r="L34" s="12">
        <v>1</v>
      </c>
      <c r="M34" s="56"/>
      <c r="N34" s="57"/>
    </row>
    <row r="35" spans="1:14" ht="17.25" customHeight="1" x14ac:dyDescent="0.15">
      <c r="A35" s="61"/>
      <c r="B35" s="55" t="s">
        <v>24</v>
      </c>
      <c r="C35" s="12" t="s">
        <v>63</v>
      </c>
      <c r="D35" s="12" t="s">
        <v>55</v>
      </c>
      <c r="E35" s="12">
        <v>3</v>
      </c>
      <c r="F35" s="12">
        <v>3</v>
      </c>
      <c r="G35" s="12"/>
      <c r="H35" s="18"/>
      <c r="I35" s="12">
        <v>3</v>
      </c>
      <c r="J35" s="12"/>
      <c r="K35" s="12"/>
      <c r="L35" s="12"/>
      <c r="M35" s="58">
        <v>7</v>
      </c>
      <c r="N35" s="59">
        <v>10</v>
      </c>
    </row>
    <row r="36" spans="1:14" ht="17.25" customHeight="1" x14ac:dyDescent="0.15">
      <c r="A36" s="61"/>
      <c r="B36" s="55"/>
      <c r="C36" s="24" t="s">
        <v>64</v>
      </c>
      <c r="D36" s="24" t="s">
        <v>55</v>
      </c>
      <c r="E36" s="24">
        <v>3</v>
      </c>
      <c r="F36" s="24">
        <v>2</v>
      </c>
      <c r="G36" s="24">
        <v>2</v>
      </c>
      <c r="H36" s="18"/>
      <c r="I36" s="24"/>
      <c r="J36" s="24"/>
      <c r="K36" s="24"/>
      <c r="L36" s="24"/>
      <c r="M36" s="58"/>
      <c r="N36" s="59"/>
    </row>
    <row r="37" spans="1:14" ht="17.25" customHeight="1" x14ac:dyDescent="0.15">
      <c r="A37" s="61"/>
      <c r="B37" s="55"/>
      <c r="C37" s="12" t="s">
        <v>65</v>
      </c>
      <c r="D37" s="12" t="s">
        <v>56</v>
      </c>
      <c r="E37" s="12">
        <v>3</v>
      </c>
      <c r="F37" s="12">
        <v>2</v>
      </c>
      <c r="G37" s="18"/>
      <c r="H37" s="12">
        <v>2</v>
      </c>
      <c r="I37" s="12"/>
      <c r="J37" s="12"/>
      <c r="K37" s="12"/>
      <c r="L37" s="12"/>
      <c r="M37" s="58"/>
      <c r="N37" s="59"/>
    </row>
    <row r="38" spans="1:14" ht="17.25" customHeight="1" thickBot="1" x14ac:dyDescent="0.2">
      <c r="A38" s="16"/>
      <c r="B38" s="52" t="s">
        <v>11</v>
      </c>
      <c r="C38" s="53"/>
      <c r="D38" s="53"/>
      <c r="E38" s="53"/>
      <c r="F38" s="54"/>
      <c r="G38" s="11">
        <f t="shared" ref="G38:N38" si="0">SUM(G6:G37)</f>
        <v>25</v>
      </c>
      <c r="H38" s="11">
        <f t="shared" si="0"/>
        <v>25</v>
      </c>
      <c r="I38" s="11">
        <f t="shared" si="0"/>
        <v>17</v>
      </c>
      <c r="J38" s="11">
        <f t="shared" si="0"/>
        <v>17</v>
      </c>
      <c r="K38" s="11">
        <f t="shared" si="0"/>
        <v>6</v>
      </c>
      <c r="L38" s="11">
        <f t="shared" si="0"/>
        <v>5</v>
      </c>
      <c r="M38" s="10">
        <f t="shared" si="0"/>
        <v>95</v>
      </c>
      <c r="N38" s="15">
        <f t="shared" si="0"/>
        <v>68</v>
      </c>
    </row>
    <row r="39" spans="1:14" ht="24" x14ac:dyDescent="0.15">
      <c r="A39" s="39" t="s">
        <v>67</v>
      </c>
      <c r="B39" s="41" t="s">
        <v>68</v>
      </c>
      <c r="C39" s="5" t="s">
        <v>72</v>
      </c>
      <c r="D39" s="5" t="s">
        <v>73</v>
      </c>
      <c r="E39" s="14">
        <v>4</v>
      </c>
      <c r="F39" s="5">
        <v>3</v>
      </c>
      <c r="G39" s="25"/>
      <c r="H39" s="25"/>
      <c r="I39" s="25"/>
      <c r="J39" s="25"/>
      <c r="K39" s="5" t="s">
        <v>86</v>
      </c>
      <c r="L39" s="25"/>
      <c r="M39" s="25">
        <v>3</v>
      </c>
      <c r="N39" s="44">
        <v>79</v>
      </c>
    </row>
    <row r="40" spans="1:14" ht="36" x14ac:dyDescent="0.15">
      <c r="A40" s="40"/>
      <c r="B40" s="42"/>
      <c r="C40" s="23" t="s">
        <v>74</v>
      </c>
      <c r="D40" s="23" t="s">
        <v>75</v>
      </c>
      <c r="E40" s="9">
        <v>4</v>
      </c>
      <c r="F40" s="17">
        <v>3</v>
      </c>
      <c r="G40" s="24"/>
      <c r="H40" s="24"/>
      <c r="I40" s="24"/>
      <c r="J40" s="24"/>
      <c r="K40" s="26" t="s">
        <v>27</v>
      </c>
      <c r="L40" s="24"/>
      <c r="M40" s="24">
        <v>9</v>
      </c>
      <c r="N40" s="45"/>
    </row>
    <row r="41" spans="1:14" ht="24" x14ac:dyDescent="0.15">
      <c r="A41" s="40"/>
      <c r="B41" s="42"/>
      <c r="C41" s="23" t="s">
        <v>76</v>
      </c>
      <c r="D41" s="23" t="s">
        <v>56</v>
      </c>
      <c r="E41" s="9">
        <v>4</v>
      </c>
      <c r="F41" s="17">
        <v>3</v>
      </c>
      <c r="G41" s="24"/>
      <c r="H41" s="24"/>
      <c r="I41" s="24"/>
      <c r="J41" s="24"/>
      <c r="K41" s="24"/>
      <c r="L41" s="26" t="s">
        <v>86</v>
      </c>
      <c r="M41" s="24">
        <v>3</v>
      </c>
      <c r="N41" s="45"/>
    </row>
    <row r="42" spans="1:14" ht="60" x14ac:dyDescent="0.15">
      <c r="A42" s="40"/>
      <c r="B42" s="42"/>
      <c r="C42" s="23" t="s">
        <v>77</v>
      </c>
      <c r="D42" s="23" t="s">
        <v>73</v>
      </c>
      <c r="E42" s="21">
        <v>4</v>
      </c>
      <c r="F42" s="23">
        <v>3</v>
      </c>
      <c r="G42" s="24"/>
      <c r="H42" s="24"/>
      <c r="I42" s="24"/>
      <c r="J42" s="24"/>
      <c r="K42" s="24"/>
      <c r="L42" s="26" t="s">
        <v>87</v>
      </c>
      <c r="M42" s="24">
        <v>6</v>
      </c>
      <c r="N42" s="45"/>
    </row>
    <row r="43" spans="1:14" ht="24" x14ac:dyDescent="0.15">
      <c r="A43" s="40"/>
      <c r="B43" s="43"/>
      <c r="C43" s="23" t="s">
        <v>78</v>
      </c>
      <c r="D43" s="23" t="s">
        <v>66</v>
      </c>
      <c r="E43" s="9">
        <v>4</v>
      </c>
      <c r="F43" s="17">
        <v>3</v>
      </c>
      <c r="G43" s="24"/>
      <c r="H43" s="24"/>
      <c r="I43" s="24"/>
      <c r="J43" s="24"/>
      <c r="K43" s="24"/>
      <c r="L43" s="26" t="s">
        <v>86</v>
      </c>
      <c r="M43" s="24">
        <v>3</v>
      </c>
      <c r="N43" s="45"/>
    </row>
    <row r="44" spans="1:14" ht="36" x14ac:dyDescent="0.15">
      <c r="A44" s="40"/>
      <c r="B44" s="46" t="s">
        <v>69</v>
      </c>
      <c r="C44" s="23" t="s">
        <v>79</v>
      </c>
      <c r="D44" s="23" t="s">
        <v>55</v>
      </c>
      <c r="E44" s="9">
        <v>4</v>
      </c>
      <c r="F44" s="17">
        <v>3</v>
      </c>
      <c r="G44" s="24"/>
      <c r="H44" s="24"/>
      <c r="I44" s="26" t="s">
        <v>27</v>
      </c>
      <c r="J44" s="24"/>
      <c r="K44" s="24"/>
      <c r="L44" s="24"/>
      <c r="M44" s="24">
        <v>9</v>
      </c>
      <c r="N44" s="45"/>
    </row>
    <row r="45" spans="1:14" ht="60" x14ac:dyDescent="0.15">
      <c r="A45" s="40"/>
      <c r="B45" s="42"/>
      <c r="C45" s="23" t="s">
        <v>80</v>
      </c>
      <c r="D45" s="23" t="s">
        <v>55</v>
      </c>
      <c r="E45" s="9">
        <v>4</v>
      </c>
      <c r="F45" s="17">
        <v>3</v>
      </c>
      <c r="G45" s="24"/>
      <c r="H45" s="24"/>
      <c r="I45" s="24"/>
      <c r="J45" s="26" t="s">
        <v>87</v>
      </c>
      <c r="K45" s="24"/>
      <c r="L45" s="24"/>
      <c r="M45" s="24">
        <v>6</v>
      </c>
      <c r="N45" s="45"/>
    </row>
    <row r="46" spans="1:14" ht="96" x14ac:dyDescent="0.15">
      <c r="A46" s="40"/>
      <c r="B46" s="42"/>
      <c r="C46" s="23" t="s">
        <v>81</v>
      </c>
      <c r="D46" s="23" t="s">
        <v>56</v>
      </c>
      <c r="E46" s="9">
        <v>4</v>
      </c>
      <c r="F46" s="17">
        <v>3</v>
      </c>
      <c r="G46" s="24"/>
      <c r="H46" s="24"/>
      <c r="I46" s="24"/>
      <c r="J46" s="24"/>
      <c r="K46" s="26" t="s">
        <v>23</v>
      </c>
      <c r="L46" s="24"/>
      <c r="M46" s="24">
        <v>12</v>
      </c>
      <c r="N46" s="45"/>
    </row>
    <row r="47" spans="1:14" ht="72" x14ac:dyDescent="0.15">
      <c r="A47" s="40"/>
      <c r="B47" s="43"/>
      <c r="C47" s="23" t="s">
        <v>82</v>
      </c>
      <c r="D47" s="23" t="s">
        <v>66</v>
      </c>
      <c r="E47" s="9">
        <v>4</v>
      </c>
      <c r="F47" s="17">
        <v>3</v>
      </c>
      <c r="G47" s="24"/>
      <c r="H47" s="24"/>
      <c r="I47" s="24"/>
      <c r="J47" s="24"/>
      <c r="K47" s="24"/>
      <c r="L47" s="26" t="s">
        <v>27</v>
      </c>
      <c r="M47" s="24">
        <v>9</v>
      </c>
      <c r="N47" s="45"/>
    </row>
    <row r="48" spans="1:14" ht="34.5" customHeight="1" x14ac:dyDescent="0.15">
      <c r="A48" s="40"/>
      <c r="B48" s="46" t="s">
        <v>70</v>
      </c>
      <c r="C48" s="84" t="s">
        <v>89</v>
      </c>
      <c r="D48" s="32" t="s">
        <v>84</v>
      </c>
      <c r="E48" s="9">
        <v>4</v>
      </c>
      <c r="F48" s="17">
        <v>3</v>
      </c>
      <c r="G48" s="26" t="s">
        <v>86</v>
      </c>
      <c r="H48" s="26" t="s">
        <v>86</v>
      </c>
      <c r="I48" s="26"/>
      <c r="J48" s="29"/>
      <c r="K48" s="24"/>
      <c r="L48" s="24"/>
      <c r="M48" s="50">
        <v>16</v>
      </c>
      <c r="N48" s="45"/>
    </row>
    <row r="49" spans="1:18" ht="34.5" customHeight="1" x14ac:dyDescent="0.15">
      <c r="A49" s="40"/>
      <c r="B49" s="42"/>
      <c r="C49" s="85" t="s">
        <v>90</v>
      </c>
      <c r="D49" s="32" t="s">
        <v>84</v>
      </c>
      <c r="E49" s="21">
        <v>4</v>
      </c>
      <c r="F49" s="23">
        <v>3</v>
      </c>
      <c r="G49" s="24"/>
      <c r="H49" s="24"/>
      <c r="I49" s="31" t="s">
        <v>86</v>
      </c>
      <c r="J49" s="31" t="s">
        <v>86</v>
      </c>
      <c r="K49" s="24"/>
      <c r="L49" s="24"/>
      <c r="M49" s="51"/>
      <c r="N49" s="45"/>
    </row>
    <row r="50" spans="1:18" ht="24.95" customHeight="1" x14ac:dyDescent="0.15">
      <c r="A50" s="40"/>
      <c r="B50" s="42"/>
      <c r="C50" s="47" t="s">
        <v>83</v>
      </c>
      <c r="D50" s="47" t="s">
        <v>84</v>
      </c>
      <c r="E50" s="21">
        <v>3</v>
      </c>
      <c r="F50" s="23">
        <v>2</v>
      </c>
      <c r="G50" s="29" t="s">
        <v>25</v>
      </c>
      <c r="H50" s="24"/>
      <c r="I50" s="24"/>
      <c r="J50" s="24"/>
      <c r="K50" s="24"/>
      <c r="L50" s="24"/>
      <c r="M50" s="51"/>
      <c r="N50" s="45"/>
    </row>
    <row r="51" spans="1:18" ht="24.95" customHeight="1" x14ac:dyDescent="0.15">
      <c r="A51" s="40"/>
      <c r="B51" s="43"/>
      <c r="C51" s="48"/>
      <c r="D51" s="49"/>
      <c r="E51" s="9">
        <v>3</v>
      </c>
      <c r="F51" s="17">
        <v>2</v>
      </c>
      <c r="G51" s="24"/>
      <c r="H51" s="29" t="s">
        <v>25</v>
      </c>
      <c r="I51" s="24"/>
      <c r="J51" s="24"/>
      <c r="K51" s="24"/>
      <c r="L51" s="24"/>
      <c r="M51" s="48"/>
      <c r="N51" s="45"/>
    </row>
    <row r="52" spans="1:18" ht="24.95" customHeight="1" x14ac:dyDescent="0.15">
      <c r="A52" s="40"/>
      <c r="B52" s="22" t="s">
        <v>71</v>
      </c>
      <c r="C52" s="23" t="s">
        <v>85</v>
      </c>
      <c r="D52" s="23" t="s">
        <v>73</v>
      </c>
      <c r="E52" s="9">
        <v>3</v>
      </c>
      <c r="F52" s="17">
        <v>3</v>
      </c>
      <c r="G52" s="24"/>
      <c r="H52" s="24"/>
      <c r="I52" s="4"/>
      <c r="J52" s="26" t="s">
        <v>86</v>
      </c>
      <c r="K52" s="24"/>
      <c r="L52" s="24"/>
      <c r="M52" s="24">
        <v>3</v>
      </c>
      <c r="N52" s="45"/>
    </row>
    <row r="53" spans="1:18" ht="17.25" customHeight="1" x14ac:dyDescent="0.15">
      <c r="A53" s="35" t="s">
        <v>10</v>
      </c>
      <c r="B53" s="36"/>
      <c r="C53" s="36"/>
      <c r="D53" s="36"/>
      <c r="E53" s="36"/>
      <c r="F53" s="36"/>
      <c r="G53" s="20">
        <v>30</v>
      </c>
      <c r="H53" s="20">
        <v>30</v>
      </c>
      <c r="I53" s="20">
        <v>29</v>
      </c>
      <c r="J53" s="20">
        <v>29</v>
      </c>
      <c r="K53" s="20">
        <v>30</v>
      </c>
      <c r="L53" s="20">
        <v>26</v>
      </c>
      <c r="M53" s="12">
        <f t="shared" ref="M53:M55" si="1">SUM(G53:L53)</f>
        <v>174</v>
      </c>
      <c r="N53" s="30">
        <f>M38+N39</f>
        <v>174</v>
      </c>
      <c r="R53" s="2"/>
    </row>
    <row r="54" spans="1:18" ht="17.25" customHeight="1" x14ac:dyDescent="0.15">
      <c r="A54" s="37" t="s">
        <v>15</v>
      </c>
      <c r="B54" s="38"/>
      <c r="C54" s="38"/>
      <c r="D54" s="38"/>
      <c r="E54" s="38"/>
      <c r="F54" s="38"/>
      <c r="G54" s="12">
        <v>3</v>
      </c>
      <c r="H54" s="12">
        <v>3</v>
      </c>
      <c r="I54" s="12">
        <v>3</v>
      </c>
      <c r="J54" s="12">
        <v>3</v>
      </c>
      <c r="K54" s="12">
        <v>3</v>
      </c>
      <c r="L54" s="12">
        <v>3</v>
      </c>
      <c r="M54" s="12">
        <f t="shared" si="1"/>
        <v>18</v>
      </c>
      <c r="N54" s="8"/>
      <c r="R54" s="2"/>
    </row>
    <row r="55" spans="1:18" ht="17.25" customHeight="1" x14ac:dyDescent="0.15">
      <c r="A55" s="37" t="s">
        <v>16</v>
      </c>
      <c r="B55" s="38"/>
      <c r="C55" s="38"/>
      <c r="D55" s="38"/>
      <c r="E55" s="38"/>
      <c r="F55" s="38"/>
      <c r="G55" s="19">
        <v>33</v>
      </c>
      <c r="H55" s="19">
        <v>33</v>
      </c>
      <c r="I55" s="19">
        <v>32</v>
      </c>
      <c r="J55" s="19">
        <v>32</v>
      </c>
      <c r="K55" s="19">
        <v>33</v>
      </c>
      <c r="L55" s="19">
        <v>29</v>
      </c>
      <c r="M55" s="12">
        <f t="shared" si="1"/>
        <v>192</v>
      </c>
      <c r="N55" s="8"/>
    </row>
    <row r="56" spans="1:18" ht="17.25" customHeight="1" thickBot="1" x14ac:dyDescent="0.2">
      <c r="A56" s="33" t="s">
        <v>17</v>
      </c>
      <c r="B56" s="34"/>
      <c r="C56" s="34"/>
      <c r="D56" s="34"/>
      <c r="E56" s="34"/>
      <c r="F56" s="34"/>
      <c r="G56" s="11">
        <v>11</v>
      </c>
      <c r="H56" s="11">
        <v>11</v>
      </c>
      <c r="I56" s="11">
        <v>9</v>
      </c>
      <c r="J56" s="11">
        <v>9</v>
      </c>
      <c r="K56" s="11">
        <v>10</v>
      </c>
      <c r="L56" s="11">
        <v>9</v>
      </c>
      <c r="M56" s="12">
        <f>SUM(G56:L56)</f>
        <v>59</v>
      </c>
      <c r="N56" s="8"/>
    </row>
  </sheetData>
  <mergeCells count="5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37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38:F38"/>
    <mergeCell ref="B29:B34"/>
    <mergeCell ref="M29:M34"/>
    <mergeCell ref="N29:N34"/>
    <mergeCell ref="B35:B37"/>
    <mergeCell ref="M35:M37"/>
    <mergeCell ref="N35:N37"/>
    <mergeCell ref="N39:N52"/>
    <mergeCell ref="B44:B47"/>
    <mergeCell ref="B48:B51"/>
    <mergeCell ref="C50:C51"/>
    <mergeCell ref="D50:D51"/>
    <mergeCell ref="M48:M51"/>
    <mergeCell ref="A56:F56"/>
    <mergeCell ref="A53:F53"/>
    <mergeCell ref="A54:F54"/>
    <mergeCell ref="A55:F55"/>
    <mergeCell ref="A39:A52"/>
    <mergeCell ref="B39:B43"/>
  </mergeCells>
  <phoneticPr fontId="7" type="noConversion"/>
  <pageMargins left="0.69986110925674438" right="0.69986110925674438" top="0.75" bottom="0.75" header="0.30000001192092896" footer="0.30000001192092896"/>
  <pageSetup paperSize="12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2025-09-25T09:44:53Z</cp:lastPrinted>
  <dcterms:created xsi:type="dcterms:W3CDTF">2002-10-10T04:04:10Z</dcterms:created>
  <dcterms:modified xsi:type="dcterms:W3CDTF">2025-11-19T07:26:53Z</dcterms:modified>
  <cp:version>0906.0100.01</cp:version>
</cp:coreProperties>
</file>