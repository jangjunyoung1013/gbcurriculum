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77f3016d3530e7/Desktop/"/>
    </mc:Choice>
  </mc:AlternateContent>
  <xr:revisionPtr revIDLastSave="0" documentId="8_{84250FC1-5D78-44AC-86D5-D26DFF78691B}" xr6:coauthVersionLast="47" xr6:coauthVersionMax="47" xr10:uidLastSave="{00000000-0000-0000-0000-000000000000}"/>
  <bookViews>
    <workbookView xWindow="-120" yWindow="-120" windowWidth="29040" windowHeight="15720" tabRatio="875" xr2:uid="{00000000-000D-0000-FFFF-FFFF00000000}"/>
  </bookViews>
  <sheets>
    <sheet name="입학생" sheetId="51" r:id="rId1"/>
  </sheets>
  <definedNames>
    <definedName name="_xlnm.Print_Area" localSheetId="0">입학생!$A$1:$N$72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8" i="51" l="1"/>
  <c r="I68" i="51"/>
  <c r="J68" i="51"/>
  <c r="K68" i="51"/>
  <c r="L68" i="51"/>
  <c r="G68" i="51"/>
  <c r="M61" i="51"/>
  <c r="M40" i="51"/>
  <c r="F40" i="51"/>
  <c r="M36" i="51"/>
  <c r="M25" i="51"/>
  <c r="M23" i="51"/>
  <c r="M21" i="51"/>
  <c r="M16" i="51"/>
  <c r="M11" i="51"/>
  <c r="M6" i="51"/>
  <c r="F29" i="51"/>
  <c r="M69" i="51"/>
  <c r="H71" i="51"/>
  <c r="I71" i="51"/>
  <c r="J71" i="51"/>
  <c r="K71" i="51"/>
  <c r="L71" i="51"/>
  <c r="G71" i="51"/>
  <c r="H43" i="51"/>
  <c r="I43" i="51"/>
  <c r="J43" i="51"/>
  <c r="K43" i="51"/>
  <c r="L43" i="51"/>
  <c r="G43" i="51"/>
  <c r="M68" i="51" l="1"/>
  <c r="F28" i="51"/>
  <c r="M30" i="51" l="1"/>
  <c r="L70" i="51"/>
  <c r="K70" i="51"/>
  <c r="F61" i="51"/>
  <c r="F41" i="51"/>
  <c r="F39" i="51"/>
  <c r="F38" i="51"/>
  <c r="F37" i="51"/>
  <c r="F36" i="51"/>
  <c r="F35" i="51"/>
  <c r="F34" i="51"/>
  <c r="F33" i="51"/>
  <c r="F32" i="51"/>
  <c r="F31" i="51"/>
  <c r="F30" i="51"/>
  <c r="F27" i="51"/>
  <c r="F26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2" i="51"/>
  <c r="F11" i="51"/>
  <c r="F10" i="51"/>
  <c r="F9" i="51"/>
  <c r="F8" i="51"/>
  <c r="F7" i="51"/>
  <c r="F6" i="51"/>
  <c r="J70" i="51"/>
  <c r="G70" i="51" l="1"/>
  <c r="I70" i="51"/>
  <c r="H70" i="51" l="1"/>
  <c r="M70" i="51" s="1"/>
</calcChain>
</file>

<file path=xl/sharedStrings.xml><?xml version="1.0" encoding="utf-8"?>
<sst xmlns="http://schemas.openxmlformats.org/spreadsheetml/2006/main" count="206" uniqueCount="106">
  <si>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</si>
  <si>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</si>
  <si>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</si>
  <si>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</si>
  <si>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</si>
  <si>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</si>
  <si>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</si>
  <si>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3" type="noConversion"/>
  </si>
  <si>
    <t>과목</t>
    <phoneticPr fontId="3" type="noConversion"/>
  </si>
  <si>
    <t>교과 이수 학점 소계</t>
    <phoneticPr fontId="3" type="noConversion"/>
  </si>
  <si>
    <t>학교 지정 교과 이수 학점 소계</t>
    <phoneticPr fontId="3" type="noConversion"/>
  </si>
  <si>
    <t>기본
학점</t>
    <phoneticPr fontId="3" type="noConversion"/>
  </si>
  <si>
    <t>편성
학점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</si>
  <si>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</si>
  <si>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</si>
  <si>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</si>
  <si>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문학</t>
    <phoneticPr fontId="3" type="noConversion"/>
  </si>
  <si>
    <t>일반</t>
    <phoneticPr fontId="3" type="noConversion"/>
  </si>
  <si>
    <t>진로</t>
    <phoneticPr fontId="3" type="noConversion"/>
  </si>
  <si>
    <t>영어Ⅰ</t>
    <phoneticPr fontId="3" type="noConversion"/>
  </si>
  <si>
    <t>영어Ⅱ</t>
    <phoneticPr fontId="3" type="noConversion"/>
  </si>
  <si>
    <t>영어 독해와 작문</t>
    <phoneticPr fontId="3" type="noConversion"/>
  </si>
  <si>
    <t>예술</t>
    <phoneticPr fontId="3" type="noConversion"/>
  </si>
  <si>
    <t>공통국어1</t>
    <phoneticPr fontId="3" type="noConversion"/>
  </si>
  <si>
    <t>공통국어2</t>
    <phoneticPr fontId="3" type="noConversion"/>
  </si>
  <si>
    <t>공통수학1</t>
    <phoneticPr fontId="3" type="noConversion"/>
  </si>
  <si>
    <t>공통수학2</t>
    <phoneticPr fontId="3" type="noConversion"/>
  </si>
  <si>
    <t>공통영어1</t>
    <phoneticPr fontId="3" type="noConversion"/>
  </si>
  <si>
    <t>공통영어2</t>
    <phoneticPr fontId="3" type="noConversion"/>
  </si>
  <si>
    <t>공통</t>
    <phoneticPr fontId="3" type="noConversion"/>
  </si>
  <si>
    <t>통합사회1</t>
    <phoneticPr fontId="3" type="noConversion"/>
  </si>
  <si>
    <t>한국사1</t>
    <phoneticPr fontId="3" type="noConversion"/>
  </si>
  <si>
    <t>한국사2</t>
    <phoneticPr fontId="3" type="noConversion"/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</si>
  <si>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</si>
  <si>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</si>
  <si>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</si>
  <si>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</si>
  <si>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</si>
  <si>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</si>
  <si>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</si>
  <si>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사회</t>
    <phoneticPr fontId="3" type="noConversion"/>
  </si>
  <si>
    <t>과학</t>
    <phoneticPr fontId="3" type="noConversion"/>
  </si>
  <si>
    <t>체육</t>
    <phoneticPr fontId="3" type="noConversion"/>
  </si>
  <si>
    <t>학교지정</t>
    <phoneticPr fontId="3" type="noConversion"/>
  </si>
  <si>
    <t>음악</t>
    <phoneticPr fontId="3" type="noConversion"/>
  </si>
  <si>
    <t>인간과 철학</t>
    <phoneticPr fontId="3" type="noConversion"/>
  </si>
  <si>
    <t>3</t>
    <phoneticPr fontId="3" type="noConversion"/>
  </si>
  <si>
    <t>4</t>
    <phoneticPr fontId="3" type="noConversion"/>
  </si>
  <si>
    <t>음악 감상과 비평</t>
    <phoneticPr fontId="3" type="noConversion"/>
  </si>
  <si>
    <t>이수
단위</t>
  </si>
  <si>
    <t>필수
단위</t>
  </si>
  <si>
    <t>체육1</t>
    <phoneticPr fontId="3" type="noConversion"/>
  </si>
  <si>
    <t>체육2</t>
    <phoneticPr fontId="3" type="noConversion"/>
  </si>
  <si>
    <t>운동과 건강</t>
    <phoneticPr fontId="3" type="noConversion"/>
  </si>
  <si>
    <t>스포츠과학</t>
    <phoneticPr fontId="3" type="noConversion"/>
  </si>
  <si>
    <t>스포츠생활1</t>
    <phoneticPr fontId="3" type="noConversion"/>
  </si>
  <si>
    <t>융합</t>
    <phoneticPr fontId="3" type="noConversion"/>
  </si>
  <si>
    <t>대수학</t>
    <phoneticPr fontId="3" type="noConversion"/>
  </si>
  <si>
    <t>독서와 작문</t>
    <phoneticPr fontId="3" type="noConversion"/>
  </si>
  <si>
    <t>화법과 언어</t>
    <phoneticPr fontId="3" type="noConversion"/>
  </si>
  <si>
    <t>통합사회2</t>
  </si>
  <si>
    <t>확률과통계</t>
  </si>
  <si>
    <t>일반</t>
  </si>
  <si>
    <t>4</t>
  </si>
  <si>
    <t>제2외국어/한문/교양</t>
    <phoneticPr fontId="3" type="noConversion"/>
  </si>
  <si>
    <t>사회
과학</t>
    <phoneticPr fontId="3" type="noConversion"/>
  </si>
  <si>
    <t>일반/진로</t>
    <phoneticPr fontId="3" type="noConversion"/>
  </si>
  <si>
    <t>미적분Ⅰ</t>
    <phoneticPr fontId="3" type="noConversion"/>
  </si>
  <si>
    <t>스포츠생활2</t>
  </si>
  <si>
    <t>진로/융합</t>
    <phoneticPr fontId="3" type="noConversion"/>
  </si>
  <si>
    <t>미술매체탐구</t>
    <phoneticPr fontId="3" type="noConversion"/>
  </si>
  <si>
    <t>경제수학, 기하</t>
    <phoneticPr fontId="3" type="noConversion"/>
  </si>
  <si>
    <t>일본어, 한문</t>
    <phoneticPr fontId="3" type="noConversion"/>
  </si>
  <si>
    <t>일본 문화, 한문 고전 읽기</t>
    <phoneticPr fontId="3" type="noConversion"/>
  </si>
  <si>
    <t>논술, 인간과 심리, 교육의 이해</t>
    <phoneticPr fontId="3" type="noConversion"/>
  </si>
  <si>
    <t>주제 탐구 독서, 독서토론과 글쓰기</t>
    <phoneticPr fontId="3" type="noConversion"/>
  </si>
  <si>
    <t>문장론, 문학감상과비평</t>
    <phoneticPr fontId="3" type="noConversion"/>
  </si>
  <si>
    <t>과학의 역사와 문화</t>
    <phoneticPr fontId="3" type="noConversion"/>
  </si>
  <si>
    <t>미술사</t>
    <phoneticPr fontId="3" type="noConversion"/>
  </si>
  <si>
    <t>생태와 환경, 삶과 종교</t>
  </si>
  <si>
    <t>진로</t>
  </si>
  <si>
    <t>3</t>
  </si>
  <si>
    <t>2026학년도 입학생 교육과정 편성표</t>
    <phoneticPr fontId="3" type="noConversion"/>
  </si>
  <si>
    <t>진로와 직업</t>
  </si>
  <si>
    <t>수학과 인공지능</t>
    <phoneticPr fontId="3" type="noConversion"/>
  </si>
  <si>
    <t>인공지능 원리 탐구, 데이터로 세상 읽기</t>
    <phoneticPr fontId="3" type="noConversion"/>
  </si>
  <si>
    <t>진로, 융합</t>
    <phoneticPr fontId="3" type="noConversion"/>
  </si>
  <si>
    <t>미적분Ⅱ, 실용통계</t>
    <phoneticPr fontId="3" type="noConversion"/>
  </si>
  <si>
    <t xml:space="preserve">수학과제탐구, 수학과문화, </t>
    <phoneticPr fontId="3" type="noConversion"/>
  </si>
  <si>
    <t>영미문학읽기,  영어 발표와 토론</t>
    <phoneticPr fontId="3" type="noConversion"/>
  </si>
  <si>
    <t>심화 영어 독해와 작문, 심화 영어</t>
    <phoneticPr fontId="3" type="noConversion"/>
  </si>
  <si>
    <t>사회와 문화, 현대사회와 윤리, 
물리학, 화학</t>
    <phoneticPr fontId="3" type="noConversion"/>
  </si>
  <si>
    <t>세계시민과 지리, 경제, 
생명과학, 지구과학</t>
    <phoneticPr fontId="3" type="noConversion"/>
  </si>
  <si>
    <t>한국지리탐구, 도시의미래탐구, 정치, 법과사회, 윤리와사상, 국제관계의 이해, 역학과 에너지, 전자기와 양자, 화학반응의서계, 세포와물질대사, 생물의유전, 지구시스템과학,  행성우주과학</t>
    <phoneticPr fontId="3" type="noConversion"/>
  </si>
  <si>
    <t>인문학과윤리, 물질과에너지</t>
    <phoneticPr fontId="3" type="noConversion"/>
  </si>
  <si>
    <t>2</t>
    <phoneticPr fontId="3" type="noConversion"/>
  </si>
  <si>
    <t>학교 선택 교과 이수 학점 소계</t>
    <phoneticPr fontId="3" type="noConversion"/>
  </si>
  <si>
    <t>정보
교양</t>
    <phoneticPr fontId="3" type="noConversion"/>
  </si>
  <si>
    <t>기후변화와환경생태, 융합과학탐구</t>
    <phoneticPr fontId="3" type="noConversion"/>
  </si>
  <si>
    <t>여행지리, 사회문제탐구, 
금융과경제생활, 윤리문제탐구, 
기후변화와 지속가능한세계</t>
    <phoneticPr fontId="3" type="noConversion"/>
  </si>
  <si>
    <t>택2
(3)
6</t>
    <phoneticPr fontId="3" type="noConversion"/>
  </si>
  <si>
    <t>택1
3</t>
    <phoneticPr fontId="3" type="noConversion"/>
  </si>
  <si>
    <t>택3
(3)
9</t>
    <phoneticPr fontId="3" type="noConversion"/>
  </si>
  <si>
    <t>택1
2</t>
    <phoneticPr fontId="3" type="noConversion"/>
  </si>
  <si>
    <t>택1
4</t>
    <phoneticPr fontId="3" type="noConversion"/>
  </si>
  <si>
    <t>택1
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</si>
</sst>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24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02">
    <xf numFmtId="0" fontId="0" fillId="0" borderId="0" xfId="0" applyNumberFormat="1"/>
    <xf numFmtId="0" fontId="4" fillId="0" borderId="0" xfId="2" applyNumberFormat="1"/>
    <xf numFmtId="0" fontId="5" fillId="3" borderId="2" xfId="2" applyNumberFormat="1" applyFont="1" applyFill="1" applyBorder="1" applyAlignment="1" applyProtection="1">
      <alignment horizontal="center" vertical="center"/>
    </xf>
    <xf numFmtId="0" fontId="4" fillId="0" borderId="0" xfId="2" applyNumberFormat="1" applyFill="1"/>
    <xf numFmtId="0" fontId="6" fillId="0" borderId="28" xfId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 applyProtection="1">
      <alignment horizontal="center" vertical="center"/>
    </xf>
    <xf numFmtId="0" fontId="6" fillId="0" borderId="3" xfId="2" applyNumberFormat="1" applyFont="1" applyFill="1" applyBorder="1" applyAlignment="1" applyProtection="1">
      <alignment horizontal="center" vertical="center"/>
    </xf>
    <xf numFmtId="0" fontId="6" fillId="0" borderId="18" xfId="2" applyNumberFormat="1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6" fillId="0" borderId="3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center" vertical="center"/>
    </xf>
    <xf numFmtId="0" fontId="6" fillId="0" borderId="18" xfId="2" applyNumberFormat="1" applyFont="1" applyFill="1" applyBorder="1" applyAlignment="1">
      <alignment horizontal="center" vertical="center"/>
    </xf>
    <xf numFmtId="49" fontId="6" fillId="0" borderId="1" xfId="2" applyNumberFormat="1" applyFont="1" applyFill="1" applyBorder="1" applyAlignment="1">
      <alignment horizontal="center" vertical="center"/>
    </xf>
    <xf numFmtId="49" fontId="6" fillId="0" borderId="6" xfId="2" applyNumberFormat="1" applyFont="1" applyFill="1" applyBorder="1" applyAlignment="1">
      <alignment horizontal="center" vertical="center"/>
    </xf>
    <xf numFmtId="0" fontId="6" fillId="0" borderId="1" xfId="2" quotePrefix="1" applyNumberFormat="1" applyFont="1" applyFill="1" applyBorder="1" applyAlignment="1" applyProtection="1">
      <alignment horizontal="center" vertical="center"/>
    </xf>
    <xf numFmtId="0" fontId="6" fillId="0" borderId="18" xfId="2" quotePrefix="1" applyNumberFormat="1" applyFont="1" applyFill="1" applyBorder="1" applyAlignment="1" applyProtection="1">
      <alignment horizontal="center" vertical="center"/>
    </xf>
    <xf numFmtId="0" fontId="6" fillId="0" borderId="5" xfId="2" applyNumberFormat="1" applyFont="1" applyFill="1" applyBorder="1" applyAlignment="1" applyProtection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29" xfId="2" applyNumberFormat="1" applyFont="1" applyFill="1" applyBorder="1" applyAlignment="1">
      <alignment horizontal="center" vertical="center"/>
    </xf>
    <xf numFmtId="0" fontId="6" fillId="0" borderId="2" xfId="2" applyNumberFormat="1" applyFont="1" applyFill="1" applyBorder="1" applyAlignment="1">
      <alignment horizontal="center" vertical="center"/>
    </xf>
    <xf numFmtId="0" fontId="6" fillId="0" borderId="2" xfId="2" applyNumberFormat="1" applyFont="1" applyFill="1" applyBorder="1" applyAlignment="1" applyProtection="1">
      <alignment horizontal="center" vertical="center"/>
    </xf>
    <xf numFmtId="0" fontId="1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 applyProtection="1">
      <alignment horizontal="center" vertical="center"/>
    </xf>
    <xf numFmtId="0" fontId="5" fillId="0" borderId="1" xfId="2" applyNumberFormat="1" applyFont="1" applyFill="1" applyBorder="1" applyAlignment="1" applyProtection="1">
      <alignment horizontal="center" vertical="center"/>
    </xf>
    <xf numFmtId="0" fontId="5" fillId="0" borderId="18" xfId="2" applyNumberFormat="1" applyFont="1" applyFill="1" applyBorder="1" applyAlignment="1" applyProtection="1">
      <alignment horizontal="center" vertical="center"/>
    </xf>
    <xf numFmtId="0" fontId="7" fillId="0" borderId="44" xfId="2" applyNumberFormat="1" applyFont="1" applyFill="1" applyBorder="1" applyAlignment="1">
      <alignment horizontal="center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>
      <alignment horizontal="center" vertical="center"/>
    </xf>
    <xf numFmtId="176" fontId="6" fillId="0" borderId="2" xfId="2" applyNumberFormat="1" applyFont="1" applyFill="1" applyBorder="1" applyAlignment="1" applyProtection="1">
      <alignment horizontal="center" vertical="center"/>
    </xf>
    <xf numFmtId="0" fontId="6" fillId="0" borderId="20" xfId="2" applyNumberFormat="1" applyFont="1" applyFill="1" applyBorder="1" applyAlignment="1" applyProtection="1">
      <alignment horizontal="center" vertical="center"/>
    </xf>
    <xf numFmtId="49" fontId="6" fillId="0" borderId="5" xfId="1" applyNumberFormat="1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6" fillId="0" borderId="38" xfId="2" applyNumberFormat="1" applyFont="1" applyFill="1" applyBorder="1" applyAlignment="1">
      <alignment horizontal="center" vertical="center"/>
    </xf>
    <xf numFmtId="49" fontId="6" fillId="0" borderId="5" xfId="2" applyNumberFormat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4" xfId="2" applyNumberFormat="1" applyFont="1" applyFill="1" applyBorder="1" applyAlignment="1">
      <alignment horizontal="center" vertical="center"/>
    </xf>
    <xf numFmtId="0" fontId="6" fillId="0" borderId="19" xfId="2" applyNumberFormat="1" applyFont="1" applyFill="1" applyBorder="1" applyAlignment="1" applyProtection="1">
      <alignment horizontal="center" vertical="center"/>
    </xf>
    <xf numFmtId="0" fontId="6" fillId="0" borderId="5" xfId="2" applyFont="1" applyFill="1" applyBorder="1" applyAlignment="1">
      <alignment horizontal="center" vertical="center" wrapText="1"/>
    </xf>
    <xf numFmtId="0" fontId="6" fillId="0" borderId="34" xfId="2" applyNumberFormat="1" applyFont="1" applyFill="1" applyBorder="1" applyAlignment="1">
      <alignment horizontal="center" vertical="center"/>
    </xf>
    <xf numFmtId="0" fontId="6" fillId="0" borderId="2" xfId="2" quotePrefix="1" applyNumberFormat="1" applyFont="1" applyFill="1" applyBorder="1" applyAlignment="1" applyProtection="1">
      <alignment horizontal="center" vertical="center"/>
    </xf>
    <xf numFmtId="0" fontId="6" fillId="0" borderId="20" xfId="2" quotePrefix="1" applyNumberFormat="1" applyFont="1" applyFill="1" applyBorder="1" applyAlignment="1" applyProtection="1">
      <alignment horizontal="center" vertical="center"/>
    </xf>
    <xf numFmtId="0" fontId="6" fillId="0" borderId="20" xfId="2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center" vertical="center" wrapText="1"/>
    </xf>
    <xf numFmtId="0" fontId="7" fillId="0" borderId="41" xfId="2" applyNumberFormat="1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 applyProtection="1">
      <alignment horizontal="center" vertical="center"/>
    </xf>
    <xf numFmtId="0" fontId="6" fillId="0" borderId="1" xfId="2" applyNumberFormat="1" applyFont="1" applyFill="1" applyBorder="1" applyAlignment="1" applyProtection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42" xfId="2" applyNumberFormat="1" applyFont="1" applyFill="1" applyBorder="1" applyAlignment="1" applyProtection="1">
      <alignment horizontal="center" vertical="center" wrapText="1"/>
    </xf>
    <xf numFmtId="0" fontId="6" fillId="0" borderId="43" xfId="2" applyNumberFormat="1" applyFont="1" applyFill="1" applyBorder="1" applyAlignment="1" applyProtection="1">
      <alignment horizontal="center" vertical="center" wrapText="1"/>
    </xf>
    <xf numFmtId="0" fontId="6" fillId="0" borderId="2" xfId="2" applyNumberFormat="1" applyFont="1" applyFill="1" applyBorder="1" applyAlignment="1" applyProtection="1">
      <alignment horizontal="center" vertical="center" wrapText="1"/>
    </xf>
    <xf numFmtId="0" fontId="6" fillId="0" borderId="6" xfId="2" quotePrefix="1" applyNumberFormat="1" applyFont="1" applyFill="1" applyBorder="1" applyAlignment="1" applyProtection="1">
      <alignment horizontal="center" vertical="center"/>
    </xf>
    <xf numFmtId="0" fontId="6" fillId="0" borderId="34" xfId="2" quotePrefix="1" applyNumberFormat="1" applyFont="1" applyFill="1" applyBorder="1" applyAlignment="1" applyProtection="1">
      <alignment horizontal="center" vertical="center"/>
    </xf>
    <xf numFmtId="0" fontId="5" fillId="3" borderId="5" xfId="2" applyNumberFormat="1" applyFont="1" applyFill="1" applyBorder="1" applyAlignment="1" applyProtection="1">
      <alignment horizontal="center" vertical="center"/>
    </xf>
    <xf numFmtId="0" fontId="5" fillId="3" borderId="45" xfId="2" applyNumberFormat="1" applyFont="1" applyFill="1" applyBorder="1" applyAlignment="1" applyProtection="1">
      <alignment horizontal="center" vertical="center"/>
    </xf>
    <xf numFmtId="0" fontId="5" fillId="3" borderId="14" xfId="2" applyNumberFormat="1" applyFont="1" applyFill="1" applyBorder="1" applyAlignment="1" applyProtection="1">
      <alignment horizontal="center" vertical="center"/>
    </xf>
    <xf numFmtId="0" fontId="5" fillId="3" borderId="15" xfId="2" applyNumberFormat="1" applyFont="1" applyFill="1" applyBorder="1" applyAlignment="1" applyProtection="1">
      <alignment horizontal="center" vertical="center"/>
    </xf>
    <xf numFmtId="0" fontId="6" fillId="0" borderId="6" xfId="2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38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6" fillId="0" borderId="21" xfId="2" applyNumberFormat="1" applyFont="1" applyFill="1" applyBorder="1" applyAlignment="1" applyProtection="1">
      <alignment horizontal="center" vertical="center"/>
    </xf>
    <xf numFmtId="0" fontId="6" fillId="0" borderId="57" xfId="2" applyNumberFormat="1" applyFont="1" applyFill="1" applyBorder="1" applyAlignment="1" applyProtection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0" fontId="5" fillId="0" borderId="23" xfId="2" applyNumberFormat="1" applyFont="1" applyFill="1" applyBorder="1" applyAlignment="1" applyProtection="1">
      <alignment horizontal="center" vertical="center"/>
    </xf>
    <xf numFmtId="0" fontId="5" fillId="0" borderId="41" xfId="2" applyNumberFormat="1" applyFont="1" applyFill="1" applyBorder="1" applyAlignment="1" applyProtection="1">
      <alignment horizontal="center" vertical="center"/>
    </xf>
    <xf numFmtId="0" fontId="5" fillId="0" borderId="44" xfId="2" applyNumberFormat="1" applyFont="1" applyFill="1" applyBorder="1" applyAlignment="1" applyProtection="1">
      <alignment horizontal="center" vertical="center"/>
    </xf>
    <xf numFmtId="0" fontId="5" fillId="0" borderId="43" xfId="2" applyNumberFormat="1" applyFont="1" applyFill="1" applyBorder="1" applyAlignment="1" applyProtection="1">
      <alignment horizontal="center" vertical="center"/>
    </xf>
    <xf numFmtId="0" fontId="5" fillId="0" borderId="42" xfId="2" applyNumberFormat="1" applyFont="1" applyFill="1" applyBorder="1" applyAlignment="1" applyProtection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29" xfId="2" applyNumberFormat="1" applyFont="1" applyFill="1" applyBorder="1" applyAlignment="1" applyProtection="1">
      <alignment horizontal="center" vertical="center"/>
    </xf>
    <xf numFmtId="0" fontId="7" fillId="0" borderId="11" xfId="2" applyNumberFormat="1" applyFont="1" applyFill="1" applyBorder="1" applyAlignment="1">
      <alignment horizontal="center" vertical="center"/>
    </xf>
    <xf numFmtId="0" fontId="7" fillId="0" borderId="12" xfId="2" applyNumberFormat="1" applyFont="1" applyFill="1" applyBorder="1" applyAlignment="1">
      <alignment horizontal="center" vertical="center"/>
    </xf>
    <xf numFmtId="0" fontId="7" fillId="0" borderId="26" xfId="2" applyNumberFormat="1" applyFont="1" applyFill="1" applyBorder="1" applyAlignment="1">
      <alignment horizontal="center" vertical="center"/>
    </xf>
    <xf numFmtId="0" fontId="7" fillId="0" borderId="27" xfId="2" applyNumberFormat="1" applyFont="1" applyFill="1" applyBorder="1" applyAlignment="1">
      <alignment horizontal="center" vertical="center"/>
    </xf>
    <xf numFmtId="0" fontId="6" fillId="0" borderId="17" xfId="2" applyNumberFormat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58" xfId="2" applyNumberFormat="1" applyFont="1" applyFill="1" applyBorder="1" applyAlignment="1">
      <alignment horizontal="center" vertical="center"/>
    </xf>
    <xf numFmtId="0" fontId="7" fillId="0" borderId="13" xfId="2" applyNumberFormat="1" applyFont="1" applyFill="1" applyBorder="1" applyAlignment="1">
      <alignment horizontal="center" vertical="center"/>
    </xf>
    <xf numFmtId="0" fontId="5" fillId="0" borderId="22" xfId="2" applyNumberFormat="1" applyFont="1" applyFill="1" applyBorder="1" applyAlignment="1" applyProtection="1">
      <alignment horizontal="center" vertical="center" wrapText="1"/>
    </xf>
    <xf numFmtId="0" fontId="7" fillId="0" borderId="38" xfId="2" applyNumberFormat="1" applyFont="1" applyBorder="1" applyAlignment="1">
      <alignment horizontal="center" vertical="center"/>
    </xf>
    <xf numFmtId="0" fontId="7" fillId="0" borderId="7" xfId="2" applyNumberFormat="1" applyFont="1" applyBorder="1" applyAlignment="1">
      <alignment horizontal="center" vertical="center"/>
    </xf>
    <xf numFmtId="0" fontId="7" fillId="0" borderId="4" xfId="2" applyNumberFormat="1" applyFont="1" applyBorder="1" applyAlignment="1">
      <alignment horizontal="center" vertical="center"/>
    </xf>
    <xf numFmtId="0" fontId="7" fillId="0" borderId="19" xfId="2" applyNumberFormat="1" applyFont="1" applyBorder="1" applyAlignment="1">
      <alignment horizontal="center" vertical="center"/>
    </xf>
    <xf numFmtId="0" fontId="1" fillId="0" borderId="0" xfId="2" applyNumberFormat="1" applyFont="1" applyFill="1" applyBorder="1" applyAlignment="1" applyProtection="1">
      <alignment horizontal="center" vertical="center"/>
    </xf>
    <xf numFmtId="0" fontId="2" fillId="0" borderId="0" xfId="2" applyNumberFormat="1" applyFont="1" applyFill="1" applyBorder="1" applyAlignment="1" applyProtection="1">
      <alignment horizontal="center" vertical="center"/>
    </xf>
    <xf numFmtId="0" fontId="4" fillId="0" borderId="0" xfId="2" applyNumberFormat="1" applyAlignment="1">
      <alignment horizontal="center" vertical="center"/>
    </xf>
    <xf numFmtId="0" fontId="5" fillId="3" borderId="35" xfId="2" applyNumberFormat="1" applyFont="1" applyFill="1" applyBorder="1" applyAlignment="1" applyProtection="1">
      <alignment horizontal="center" vertical="center"/>
    </xf>
    <xf numFmtId="0" fontId="5" fillId="3" borderId="38" xfId="2" applyNumberFormat="1" applyFont="1" applyFill="1" applyBorder="1" applyAlignment="1" applyProtection="1">
      <alignment horizontal="center" vertical="center"/>
    </xf>
    <xf numFmtId="0" fontId="5" fillId="3" borderId="20" xfId="2" applyNumberFormat="1" applyFont="1" applyFill="1" applyBorder="1" applyAlignment="1" applyProtection="1">
      <alignment horizontal="center" vertical="center"/>
    </xf>
    <xf numFmtId="0" fontId="5" fillId="3" borderId="30" xfId="2" applyNumberFormat="1" applyFont="1" applyFill="1" applyBorder="1" applyAlignment="1" applyProtection="1">
      <alignment horizontal="center" vertical="center"/>
    </xf>
    <xf numFmtId="0" fontId="9" fillId="0" borderId="3" xfId="2" applyNumberFormat="1" applyFont="1" applyBorder="1" applyAlignment="1">
      <alignment horizontal="center" vertical="center"/>
    </xf>
    <xf numFmtId="0" fontId="6" fillId="3" borderId="2" xfId="2" applyNumberFormat="1" applyFont="1" applyFill="1" applyBorder="1" applyAlignment="1" applyProtection="1">
      <alignment horizontal="center" vertical="center" wrapText="1"/>
    </xf>
    <xf numFmtId="0" fontId="6" fillId="3" borderId="2" xfId="2" applyNumberFormat="1" applyFont="1" applyFill="1" applyBorder="1" applyAlignment="1" applyProtection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3" borderId="29" xfId="2" applyNumberFormat="1" applyFont="1" applyFill="1" applyBorder="1" applyAlignment="1" applyProtection="1">
      <alignment horizontal="center" vertical="center"/>
    </xf>
    <xf numFmtId="0" fontId="6" fillId="3" borderId="2" xfId="2" quotePrefix="1" applyNumberFormat="1" applyFont="1" applyFill="1" applyBorder="1" applyAlignment="1" applyProtection="1">
      <alignment horizontal="center" vertical="center"/>
    </xf>
    <xf numFmtId="0" fontId="6" fillId="3" borderId="20" xfId="2" applyNumberFormat="1" applyFont="1" applyFill="1" applyBorder="1" applyAlignment="1" applyProtection="1">
      <alignment horizontal="center" vertical="center"/>
    </xf>
    <xf numFmtId="0" fontId="6" fillId="3" borderId="1" xfId="2" applyNumberFormat="1" applyFont="1" applyFill="1" applyBorder="1" applyAlignment="1" applyProtection="1">
      <alignment horizontal="center" vertical="center" wrapText="1"/>
    </xf>
    <xf numFmtId="0" fontId="6" fillId="3" borderId="1" xfId="2" applyNumberFormat="1" applyFont="1" applyFill="1" applyBorder="1" applyAlignment="1" applyProtection="1">
      <alignment horizontal="center" vertical="center"/>
    </xf>
    <xf numFmtId="0" fontId="6" fillId="3" borderId="28" xfId="1" applyFont="1" applyFill="1" applyBorder="1" applyAlignment="1">
      <alignment horizontal="center" vertical="center"/>
    </xf>
    <xf numFmtId="0" fontId="6" fillId="3" borderId="3" xfId="2" applyNumberFormat="1" applyFont="1" applyFill="1" applyBorder="1" applyAlignment="1" applyProtection="1">
      <alignment horizontal="center" vertical="center"/>
    </xf>
    <xf numFmtId="0" fontId="6" fillId="3" borderId="1" xfId="2" quotePrefix="1" applyNumberFormat="1" applyFont="1" applyFill="1" applyBorder="1" applyAlignment="1" applyProtection="1">
      <alignment horizontal="center" vertical="center"/>
    </xf>
    <xf numFmtId="0" fontId="6" fillId="3" borderId="18" xfId="2" quotePrefix="1" applyNumberFormat="1" applyFont="1" applyFill="1" applyBorder="1" applyAlignment="1" applyProtection="1">
      <alignment horizontal="center" vertical="center"/>
    </xf>
    <xf numFmtId="49" fontId="6" fillId="3" borderId="1" xfId="2" applyNumberFormat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0" fontId="6" fillId="3" borderId="5" xfId="2" applyNumberFormat="1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>
      <alignment horizontal="center" vertical="center"/>
    </xf>
    <xf numFmtId="49" fontId="6" fillId="3" borderId="5" xfId="2" applyNumberFormat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6" fillId="3" borderId="2" xfId="1" applyNumberFormat="1" applyFont="1" applyFill="1" applyBorder="1" applyAlignment="1">
      <alignment horizontal="center" vertical="center"/>
    </xf>
    <xf numFmtId="0" fontId="6" fillId="3" borderId="29" xfId="2" applyNumberFormat="1" applyFont="1" applyFill="1" applyBorder="1" applyAlignment="1">
      <alignment horizontal="center" vertical="center"/>
    </xf>
    <xf numFmtId="0" fontId="6" fillId="3" borderId="2" xfId="2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0" fontId="6" fillId="3" borderId="3" xfId="2" applyNumberFormat="1" applyFont="1" applyFill="1" applyBorder="1" applyAlignment="1">
      <alignment horizontal="center" vertical="center"/>
    </xf>
    <xf numFmtId="0" fontId="6" fillId="3" borderId="0" xfId="2" applyNumberFormat="1" applyFont="1" applyFill="1" applyBorder="1" applyAlignment="1">
      <alignment horizontal="center" vertical="center"/>
    </xf>
    <xf numFmtId="0" fontId="6" fillId="3" borderId="1" xfId="2" applyNumberFormat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/>
    </xf>
    <xf numFmtId="49" fontId="6" fillId="3" borderId="6" xfId="1" applyNumberFormat="1" applyFont="1" applyFill="1" applyBorder="1" applyAlignment="1">
      <alignment horizontal="center" vertical="center"/>
    </xf>
    <xf numFmtId="0" fontId="6" fillId="3" borderId="32" xfId="1" applyFont="1" applyFill="1" applyBorder="1" applyAlignment="1">
      <alignment horizontal="center" vertical="center"/>
    </xf>
    <xf numFmtId="0" fontId="6" fillId="3" borderId="17" xfId="2" applyNumberFormat="1" applyFont="1" applyFill="1" applyBorder="1" applyAlignment="1">
      <alignment horizontal="center" vertical="center"/>
    </xf>
    <xf numFmtId="0" fontId="6" fillId="3" borderId="6" xfId="2" quotePrefix="1" applyNumberFormat="1" applyFont="1" applyFill="1" applyBorder="1" applyAlignment="1" applyProtection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3" borderId="38" xfId="1" applyFont="1" applyFill="1" applyBorder="1" applyAlignment="1">
      <alignment horizontal="center" vertical="center"/>
    </xf>
    <xf numFmtId="0" fontId="6" fillId="3" borderId="21" xfId="2" applyNumberFormat="1" applyFont="1" applyFill="1" applyBorder="1" applyAlignment="1">
      <alignment horizontal="center" vertical="center"/>
    </xf>
    <xf numFmtId="0" fontId="6" fillId="3" borderId="10" xfId="2" applyNumberFormat="1" applyFont="1" applyFill="1" applyBorder="1" applyAlignment="1">
      <alignment horizontal="center" vertical="center"/>
    </xf>
    <xf numFmtId="0" fontId="6" fillId="3" borderId="60" xfId="2" applyNumberFormat="1" applyFont="1" applyFill="1" applyBorder="1" applyAlignment="1">
      <alignment horizontal="center" vertical="center"/>
    </xf>
    <xf numFmtId="0" fontId="6" fillId="3" borderId="10" xfId="2" applyNumberFormat="1" applyFont="1" applyFill="1" applyBorder="1" applyAlignment="1" applyProtection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31" xfId="1" applyFont="1" applyFill="1" applyBorder="1" applyAlignment="1">
      <alignment horizontal="center" vertical="center"/>
    </xf>
    <xf numFmtId="0" fontId="6" fillId="3" borderId="9" xfId="2" applyNumberFormat="1" applyFont="1" applyFill="1" applyBorder="1" applyAlignment="1" applyProtection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49" fontId="6" fillId="3" borderId="9" xfId="1" applyNumberFormat="1" applyFont="1" applyFill="1" applyBorder="1" applyAlignment="1">
      <alignment horizontal="center" vertical="center"/>
    </xf>
    <xf numFmtId="0" fontId="6" fillId="3" borderId="39" xfId="1" applyFont="1" applyFill="1" applyBorder="1" applyAlignment="1">
      <alignment horizontal="center" vertical="center"/>
    </xf>
    <xf numFmtId="0" fontId="6" fillId="3" borderId="59" xfId="2" applyNumberFormat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49" fontId="6" fillId="3" borderId="5" xfId="1" applyNumberFormat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/>
    </xf>
    <xf numFmtId="0" fontId="6" fillId="3" borderId="55" xfId="2" applyNumberFormat="1" applyFont="1" applyFill="1" applyBorder="1" applyAlignment="1">
      <alignment horizontal="center" vertical="center"/>
    </xf>
    <xf numFmtId="0" fontId="6" fillId="3" borderId="25" xfId="2" applyNumberFormat="1" applyFont="1" applyFill="1" applyBorder="1" applyAlignment="1">
      <alignment horizontal="center" vertical="center"/>
    </xf>
    <xf numFmtId="0" fontId="6" fillId="3" borderId="55" xfId="2" quotePrefix="1" applyNumberFormat="1" applyFont="1" applyFill="1" applyBorder="1" applyAlignment="1" applyProtection="1">
      <alignment horizontal="center" vertical="center"/>
    </xf>
    <xf numFmtId="0" fontId="6" fillId="3" borderId="25" xfId="2" quotePrefix="1" applyNumberFormat="1" applyFont="1" applyFill="1" applyBorder="1" applyAlignment="1" applyProtection="1">
      <alignment horizontal="center" vertical="center"/>
    </xf>
    <xf numFmtId="0" fontId="6" fillId="3" borderId="25" xfId="1" applyFont="1" applyFill="1" applyBorder="1" applyAlignment="1">
      <alignment horizontal="center" vertical="center"/>
    </xf>
    <xf numFmtId="0" fontId="6" fillId="3" borderId="33" xfId="1" applyFont="1" applyFill="1" applyBorder="1" applyAlignment="1">
      <alignment horizontal="center" vertical="center"/>
    </xf>
    <xf numFmtId="0" fontId="6" fillId="3" borderId="25" xfId="2" applyNumberFormat="1" applyFont="1" applyFill="1" applyBorder="1" applyAlignment="1" applyProtection="1">
      <alignment horizontal="center" vertical="center" wrapText="1"/>
    </xf>
    <xf numFmtId="0" fontId="6" fillId="3" borderId="33" xfId="2" applyNumberFormat="1" applyFont="1" applyFill="1" applyBorder="1" applyAlignment="1" applyProtection="1">
      <alignment horizontal="center" vertical="center" wrapText="1"/>
    </xf>
    <xf numFmtId="0" fontId="5" fillId="3" borderId="54" xfId="2" applyNumberFormat="1" applyFont="1" applyFill="1" applyBorder="1" applyAlignment="1" applyProtection="1">
      <alignment horizontal="center" vertical="center"/>
    </xf>
    <xf numFmtId="0" fontId="5" fillId="3" borderId="25" xfId="2" applyNumberFormat="1" applyFont="1" applyFill="1" applyBorder="1" applyAlignment="1" applyProtection="1">
      <alignment horizontal="center" vertical="center"/>
    </xf>
    <xf numFmtId="0" fontId="5" fillId="3" borderId="56" xfId="2" applyNumberFormat="1" applyFont="1" applyFill="1" applyBorder="1" applyAlignment="1" applyProtection="1">
      <alignment horizontal="center" vertical="center"/>
    </xf>
    <xf numFmtId="0" fontId="5" fillId="3" borderId="27" xfId="2" applyNumberFormat="1" applyFont="1" applyFill="1" applyBorder="1" applyAlignment="1" applyProtection="1">
      <alignment horizontal="center" vertical="center"/>
    </xf>
    <xf numFmtId="0" fontId="6" fillId="3" borderId="11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/>
    </xf>
    <xf numFmtId="49" fontId="6" fillId="3" borderId="9" xfId="2" applyNumberFormat="1" applyFont="1" applyFill="1" applyBorder="1" applyAlignment="1">
      <alignment horizontal="center" vertical="center"/>
    </xf>
    <xf numFmtId="0" fontId="6" fillId="3" borderId="13" xfId="2" applyNumberFormat="1" applyFont="1" applyFill="1" applyBorder="1" applyAlignment="1">
      <alignment horizontal="center" vertical="center"/>
    </xf>
    <xf numFmtId="0" fontId="6" fillId="3" borderId="9" xfId="2" applyNumberFormat="1" applyFont="1" applyFill="1" applyBorder="1" applyAlignment="1">
      <alignment horizontal="center" vertical="center"/>
    </xf>
    <xf numFmtId="0" fontId="6" fillId="3" borderId="9" xfId="2" applyNumberFormat="1" applyFont="1" applyFill="1" applyBorder="1" applyAlignment="1" applyProtection="1">
      <alignment horizontal="center" vertical="center"/>
    </xf>
    <xf numFmtId="0" fontId="6" fillId="3" borderId="7" xfId="2" applyNumberFormat="1" applyFont="1" applyFill="1" applyBorder="1" applyAlignment="1" applyProtection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39" xfId="2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>
      <alignment horizontal="center" vertical="center" shrinkToFit="1"/>
    </xf>
    <xf numFmtId="0" fontId="6" fillId="3" borderId="13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25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shrinkToFit="1"/>
    </xf>
    <xf numFmtId="0" fontId="6" fillId="3" borderId="5" xfId="2" applyFont="1" applyFill="1" applyBorder="1" applyAlignment="1">
      <alignment horizontal="center" vertical="center" wrapText="1"/>
    </xf>
    <xf numFmtId="49" fontId="6" fillId="3" borderId="2" xfId="2" applyNumberFormat="1" applyFont="1" applyFill="1" applyBorder="1" applyAlignment="1">
      <alignment horizontal="center" vertical="center"/>
    </xf>
    <xf numFmtId="0" fontId="6" fillId="3" borderId="38" xfId="2" applyNumberFormat="1" applyFont="1" applyFill="1" applyBorder="1" applyAlignment="1" applyProtection="1">
      <alignment horizontal="center" vertical="center"/>
    </xf>
    <xf numFmtId="0" fontId="8" fillId="3" borderId="7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 wrapText="1"/>
    </xf>
    <xf numFmtId="0" fontId="6" fillId="3" borderId="26" xfId="1" applyFont="1" applyFill="1" applyBorder="1" applyAlignment="1">
      <alignment horizontal="center" vertical="center" wrapText="1"/>
    </xf>
    <xf numFmtId="49" fontId="6" fillId="3" borderId="25" xfId="2" applyNumberFormat="1" applyFont="1" applyFill="1" applyBorder="1" applyAlignment="1">
      <alignment horizontal="center" vertical="center"/>
    </xf>
    <xf numFmtId="0" fontId="6" fillId="3" borderId="26" xfId="2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6" fillId="3" borderId="27" xfId="1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6" xfId="2" applyNumberFormat="1" applyFont="1" applyFill="1" applyBorder="1" applyAlignment="1" applyProtection="1">
      <alignment horizontal="center" vertical="center" wrapText="1"/>
    </xf>
    <xf numFmtId="0" fontId="6" fillId="3" borderId="6" xfId="2" applyNumberFormat="1" applyFont="1" applyFill="1" applyBorder="1" applyAlignment="1" applyProtection="1">
      <alignment horizontal="center" vertical="center"/>
    </xf>
    <xf numFmtId="0" fontId="6" fillId="3" borderId="34" xfId="1" applyFont="1" applyFill="1" applyBorder="1" applyAlignment="1">
      <alignment horizontal="center" vertical="center"/>
    </xf>
    <xf numFmtId="0" fontId="6" fillId="3" borderId="4" xfId="2" applyNumberFormat="1" applyFont="1" applyFill="1" applyBorder="1" applyAlignment="1" applyProtection="1">
      <alignment horizontal="center" vertical="center"/>
    </xf>
    <xf numFmtId="0" fontId="6" fillId="3" borderId="5" xfId="2" applyNumberFormat="1" applyFont="1" applyFill="1" applyBorder="1" applyAlignment="1" applyProtection="1">
      <alignment horizontal="center" vertical="center"/>
    </xf>
    <xf numFmtId="0" fontId="6" fillId="3" borderId="15" xfId="2" applyNumberFormat="1" applyFont="1" applyFill="1" applyBorder="1" applyAlignment="1" applyProtection="1">
      <alignment horizontal="center" vertical="center"/>
    </xf>
    <xf numFmtId="0" fontId="6" fillId="3" borderId="19" xfId="2" applyNumberFormat="1" applyFont="1" applyFill="1" applyBorder="1" applyAlignment="1" applyProtection="1">
      <alignment horizontal="center" vertical="center"/>
    </xf>
    <xf numFmtId="0" fontId="10" fillId="0" borderId="22" xfId="2" applyNumberFormat="1" applyFont="1" applyFill="1" applyBorder="1" applyAlignment="1" applyProtection="1">
      <alignment horizontal="center" vertical="center"/>
    </xf>
    <xf numFmtId="0" fontId="10" fillId="0" borderId="23" xfId="2" applyNumberFormat="1" applyFont="1" applyFill="1" applyBorder="1" applyAlignment="1" applyProtection="1">
      <alignment horizontal="center" vertical="center"/>
    </xf>
    <xf numFmtId="0" fontId="10" fillId="0" borderId="24" xfId="2" applyNumberFormat="1" applyFont="1" applyFill="1" applyBorder="1" applyAlignment="1" applyProtection="1">
      <alignment horizontal="center" vertical="center"/>
    </xf>
    <xf numFmtId="0" fontId="2" fillId="0" borderId="0" xfId="2" applyNumberFormat="1" applyFont="1" applyFill="1" applyBorder="1" applyAlignment="1" applyProtection="1">
      <alignment horizontal="center" vertical="center"/>
    </xf>
    <xf numFmtId="0" fontId="2" fillId="2" borderId="11" xfId="2" applyNumberFormat="1" applyFont="1" applyFill="1" applyBorder="1" applyAlignment="1" applyProtection="1">
      <alignment horizontal="center" vertical="center" wrapText="1"/>
    </xf>
    <xf numFmtId="0" fontId="2" fillId="2" borderId="12" xfId="2" applyNumberFormat="1" applyFont="1" applyFill="1" applyBorder="1" applyAlignment="1" applyProtection="1">
      <alignment horizontal="center" vertical="center" wrapText="1"/>
    </xf>
    <xf numFmtId="0" fontId="2" fillId="2" borderId="26" xfId="2" applyNumberFormat="1" applyFont="1" applyFill="1" applyBorder="1" applyAlignment="1" applyProtection="1">
      <alignment horizontal="center" vertical="center" wrapText="1"/>
    </xf>
    <xf numFmtId="0" fontId="2" fillId="2" borderId="10" xfId="2" applyNumberFormat="1" applyFont="1" applyFill="1" applyBorder="1" applyAlignment="1" applyProtection="1">
      <alignment horizontal="center" vertical="center"/>
    </xf>
    <xf numFmtId="0" fontId="2" fillId="2" borderId="16" xfId="2" applyNumberFormat="1" applyFont="1" applyFill="1" applyBorder="1" applyAlignment="1" applyProtection="1">
      <alignment horizontal="center" vertical="center"/>
    </xf>
    <xf numFmtId="0" fontId="2" fillId="2" borderId="25" xfId="2" applyNumberFormat="1" applyFont="1" applyFill="1" applyBorder="1" applyAlignment="1" applyProtection="1">
      <alignment horizontal="center" vertical="center"/>
    </xf>
    <xf numFmtId="0" fontId="2" fillId="2" borderId="10" xfId="2" applyNumberFormat="1" applyFont="1" applyFill="1" applyBorder="1" applyAlignment="1" applyProtection="1">
      <alignment horizontal="center" vertical="center" wrapText="1"/>
    </xf>
    <xf numFmtId="0" fontId="2" fillId="2" borderId="16" xfId="2" applyNumberFormat="1" applyFont="1" applyFill="1" applyBorder="1" applyAlignment="1" applyProtection="1">
      <alignment horizontal="center" vertical="center" wrapText="1"/>
    </xf>
    <xf numFmtId="0" fontId="2" fillId="2" borderId="25" xfId="2" applyNumberFormat="1" applyFont="1" applyFill="1" applyBorder="1" applyAlignment="1" applyProtection="1">
      <alignment horizontal="center" vertical="center" wrapText="1"/>
    </xf>
    <xf numFmtId="0" fontId="2" fillId="2" borderId="31" xfId="2" applyNumberFormat="1" applyFont="1" applyFill="1" applyBorder="1" applyAlignment="1" applyProtection="1">
      <alignment horizontal="center" vertical="center" wrapText="1"/>
    </xf>
    <xf numFmtId="0" fontId="2" fillId="2" borderId="32" xfId="2" applyNumberFormat="1" applyFont="1" applyFill="1" applyBorder="1" applyAlignment="1" applyProtection="1">
      <alignment horizontal="center" vertical="center" wrapText="1"/>
    </xf>
    <xf numFmtId="0" fontId="2" fillId="2" borderId="33" xfId="2" applyNumberFormat="1" applyFont="1" applyFill="1" applyBorder="1" applyAlignment="1" applyProtection="1">
      <alignment horizontal="center" vertical="center" wrapText="1"/>
    </xf>
    <xf numFmtId="0" fontId="2" fillId="2" borderId="35" xfId="2" applyNumberFormat="1" applyFont="1" applyFill="1" applyBorder="1" applyAlignment="1" applyProtection="1">
      <alignment horizontal="center" vertical="center"/>
    </xf>
    <xf numFmtId="0" fontId="2" fillId="2" borderId="21" xfId="2" applyNumberFormat="1" applyFont="1" applyFill="1" applyBorder="1" applyAlignment="1" applyProtection="1">
      <alignment horizontal="center" vertical="center"/>
    </xf>
    <xf numFmtId="0" fontId="2" fillId="2" borderId="20" xfId="2" applyNumberFormat="1" applyFont="1" applyFill="1" applyBorder="1" applyAlignment="1" applyProtection="1">
      <alignment horizontal="center" vertical="center"/>
    </xf>
    <xf numFmtId="0" fontId="2" fillId="2" borderId="30" xfId="2" applyNumberFormat="1" applyFont="1" applyFill="1" applyBorder="1" applyAlignment="1" applyProtection="1">
      <alignment horizontal="center" vertical="center"/>
    </xf>
    <xf numFmtId="0" fontId="2" fillId="2" borderId="36" xfId="2" applyNumberFormat="1" applyFont="1" applyFill="1" applyBorder="1" applyAlignment="1" applyProtection="1">
      <alignment horizontal="center" vertical="center" wrapText="1"/>
    </xf>
    <xf numFmtId="0" fontId="2" fillId="2" borderId="37" xfId="2" applyNumberFormat="1" applyFont="1" applyFill="1" applyBorder="1" applyAlignment="1" applyProtection="1">
      <alignment horizontal="center" vertical="center" wrapText="1"/>
    </xf>
    <xf numFmtId="0" fontId="2" fillId="2" borderId="27" xfId="2" applyNumberFormat="1" applyFont="1" applyFill="1" applyBorder="1" applyAlignment="1" applyProtection="1">
      <alignment horizontal="center" vertical="center" wrapText="1"/>
    </xf>
    <xf numFmtId="0" fontId="2" fillId="2" borderId="17" xfId="2" applyNumberFormat="1" applyFont="1" applyFill="1" applyBorder="1" applyAlignment="1" applyProtection="1">
      <alignment horizontal="center" vertical="center"/>
    </xf>
    <xf numFmtId="0" fontId="2" fillId="2" borderId="26" xfId="2" applyNumberFormat="1" applyFont="1" applyFill="1" applyBorder="1" applyAlignment="1" applyProtection="1">
      <alignment horizontal="center" vertical="center"/>
    </xf>
    <xf numFmtId="0" fontId="2" fillId="2" borderId="6" xfId="2" applyNumberFormat="1" applyFont="1" applyFill="1" applyBorder="1" applyAlignment="1" applyProtection="1">
      <alignment horizontal="center" vertical="center"/>
    </xf>
    <xf numFmtId="0" fontId="2" fillId="2" borderId="34" xfId="2" applyNumberFormat="1" applyFont="1" applyFill="1" applyBorder="1" applyAlignment="1" applyProtection="1">
      <alignment horizontal="center" vertical="center"/>
    </xf>
    <xf numFmtId="0" fontId="2" fillId="2" borderId="33" xfId="2" applyNumberFormat="1" applyFont="1" applyFill="1" applyBorder="1" applyAlignment="1" applyProtection="1">
      <alignment horizontal="center" vertical="center"/>
    </xf>
    <xf numFmtId="0" fontId="6" fillId="0" borderId="11" xfId="2" applyNumberFormat="1" applyFont="1" applyFill="1" applyBorder="1" applyAlignment="1" applyProtection="1">
      <alignment horizontal="center" vertical="center"/>
    </xf>
    <xf numFmtId="0" fontId="6" fillId="0" borderId="12" xfId="2" applyNumberFormat="1" applyFont="1" applyFill="1" applyBorder="1" applyAlignment="1" applyProtection="1">
      <alignment horizontal="center" vertical="center"/>
    </xf>
    <xf numFmtId="0" fontId="6" fillId="0" borderId="11" xfId="2" applyNumberFormat="1" applyFont="1" applyFill="1" applyBorder="1" applyAlignment="1">
      <alignment horizontal="center" vertical="center"/>
    </xf>
    <xf numFmtId="0" fontId="6" fillId="0" borderId="12" xfId="2" applyNumberFormat="1" applyFont="1" applyFill="1" applyBorder="1" applyAlignment="1">
      <alignment horizontal="center" vertical="center"/>
    </xf>
    <xf numFmtId="0" fontId="6" fillId="0" borderId="36" xfId="2" applyNumberFormat="1" applyFont="1" applyFill="1" applyBorder="1" applyAlignment="1">
      <alignment horizontal="center" vertical="center"/>
    </xf>
    <xf numFmtId="0" fontId="6" fillId="0" borderId="37" xfId="2" applyNumberFormat="1" applyFont="1" applyFill="1" applyBorder="1" applyAlignment="1">
      <alignment horizontal="center" vertical="center"/>
    </xf>
    <xf numFmtId="0" fontId="6" fillId="0" borderId="52" xfId="2" applyNumberFormat="1" applyFont="1" applyFill="1" applyBorder="1" applyAlignment="1" applyProtection="1">
      <alignment horizontal="center" vertical="center" wrapText="1"/>
    </xf>
    <xf numFmtId="0" fontId="6" fillId="0" borderId="53" xfId="2" applyNumberFormat="1" applyFont="1" applyFill="1" applyBorder="1" applyAlignment="1" applyProtection="1">
      <alignment horizontal="center" vertical="center" wrapText="1"/>
    </xf>
    <xf numFmtId="0" fontId="6" fillId="0" borderId="26" xfId="2" applyNumberFormat="1" applyFont="1" applyFill="1" applyBorder="1" applyAlignment="1" applyProtection="1">
      <alignment horizontal="center" vertical="center"/>
    </xf>
    <xf numFmtId="0" fontId="6" fillId="0" borderId="26" xfId="2" applyNumberFormat="1" applyFont="1" applyFill="1" applyBorder="1" applyAlignment="1">
      <alignment horizontal="center" vertical="center"/>
    </xf>
    <xf numFmtId="0" fontId="6" fillId="0" borderId="27" xfId="2" applyNumberFormat="1" applyFont="1" applyFill="1" applyBorder="1" applyAlignment="1">
      <alignment horizontal="center" vertical="center"/>
    </xf>
    <xf numFmtId="0" fontId="6" fillId="0" borderId="11" xfId="2" applyNumberFormat="1" applyFont="1" applyFill="1" applyBorder="1" applyAlignment="1" applyProtection="1">
      <alignment horizontal="center" vertical="center" wrapText="1"/>
    </xf>
    <xf numFmtId="0" fontId="6" fillId="0" borderId="12" xfId="2" applyNumberFormat="1" applyFont="1" applyFill="1" applyBorder="1" applyAlignment="1" applyProtection="1">
      <alignment horizontal="center" vertical="center" wrapText="1"/>
    </xf>
    <xf numFmtId="0" fontId="6" fillId="0" borderId="26" xfId="2" applyNumberFormat="1" applyFont="1" applyFill="1" applyBorder="1" applyAlignment="1" applyProtection="1">
      <alignment horizontal="center" vertical="center" wrapText="1"/>
    </xf>
    <xf numFmtId="0" fontId="6" fillId="0" borderId="17" xfId="2" applyNumberFormat="1" applyFont="1" applyFill="1" applyBorder="1" applyAlignment="1">
      <alignment horizontal="center" vertical="center"/>
    </xf>
    <xf numFmtId="0" fontId="6" fillId="0" borderId="8" xfId="2" applyNumberFormat="1" applyFont="1" applyFill="1" applyBorder="1" applyAlignment="1">
      <alignment horizontal="center" vertical="center"/>
    </xf>
    <xf numFmtId="0" fontId="6" fillId="3" borderId="11" xfId="2" applyNumberFormat="1" applyFont="1" applyFill="1" applyBorder="1" applyAlignment="1" applyProtection="1">
      <alignment horizontal="center" vertical="center"/>
    </xf>
    <xf numFmtId="0" fontId="6" fillId="3" borderId="12" xfId="2" applyNumberFormat="1" applyFont="1" applyFill="1" applyBorder="1" applyAlignment="1" applyProtection="1">
      <alignment horizontal="center" vertical="center"/>
    </xf>
    <xf numFmtId="0" fontId="6" fillId="3" borderId="26" xfId="2" applyNumberFormat="1" applyFont="1" applyFill="1" applyBorder="1" applyAlignment="1" applyProtection="1">
      <alignment horizontal="center" vertical="center"/>
    </xf>
    <xf numFmtId="0" fontId="7" fillId="0" borderId="36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0" fontId="7" fillId="0" borderId="27" xfId="2" applyNumberFormat="1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5" fillId="0" borderId="48" xfId="2" applyNumberFormat="1" applyFont="1" applyFill="1" applyBorder="1" applyAlignment="1" applyProtection="1">
      <alignment horizontal="center" vertical="center" wrapText="1"/>
    </xf>
    <xf numFmtId="0" fontId="5" fillId="0" borderId="49" xfId="2" applyNumberFormat="1" applyFont="1" applyFill="1" applyBorder="1" applyAlignment="1" applyProtection="1">
      <alignment horizontal="center" vertical="center" wrapText="1"/>
    </xf>
    <xf numFmtId="0" fontId="5" fillId="0" borderId="50" xfId="2" applyNumberFormat="1" applyFont="1" applyFill="1" applyBorder="1" applyAlignment="1" applyProtection="1">
      <alignment horizontal="center" vertical="center" wrapText="1"/>
    </xf>
    <xf numFmtId="0" fontId="6" fillId="3" borderId="11" xfId="2" applyNumberFormat="1" applyFont="1" applyFill="1" applyBorder="1" applyAlignment="1" applyProtection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7" fillId="0" borderId="11" xfId="2" applyNumberFormat="1" applyFont="1" applyFill="1" applyBorder="1" applyAlignment="1">
      <alignment horizontal="center" vertical="center"/>
    </xf>
    <xf numFmtId="0" fontId="7" fillId="0" borderId="12" xfId="2" applyNumberFormat="1" applyFont="1" applyFill="1" applyBorder="1" applyAlignment="1">
      <alignment horizontal="center" vertical="center"/>
    </xf>
    <xf numFmtId="0" fontId="7" fillId="0" borderId="13" xfId="2" applyNumberFormat="1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 wrapText="1"/>
    </xf>
    <xf numFmtId="0" fontId="6" fillId="3" borderId="54" xfId="2" applyNumberFormat="1" applyFont="1" applyFill="1" applyBorder="1" applyAlignment="1" applyProtection="1">
      <alignment horizontal="center" vertical="center" wrapText="1"/>
    </xf>
    <xf numFmtId="0" fontId="6" fillId="3" borderId="55" xfId="2" applyNumberFormat="1" applyFont="1" applyFill="1" applyBorder="1" applyAlignment="1" applyProtection="1">
      <alignment horizontal="center" vertical="center" wrapText="1"/>
    </xf>
    <xf numFmtId="0" fontId="5" fillId="0" borderId="53" xfId="2" applyNumberFormat="1" applyFont="1" applyFill="1" applyBorder="1" applyAlignment="1" applyProtection="1">
      <alignment horizontal="center" vertical="center" wrapText="1"/>
    </xf>
    <xf numFmtId="0" fontId="7" fillId="0" borderId="26" xfId="2" applyNumberFormat="1" applyFont="1" applyFill="1" applyBorder="1" applyAlignment="1">
      <alignment horizontal="center" vertical="center"/>
    </xf>
    <xf numFmtId="0" fontId="6" fillId="0" borderId="22" xfId="2" applyNumberFormat="1" applyFont="1" applyFill="1" applyBorder="1" applyAlignment="1" applyProtection="1">
      <alignment horizontal="center" vertical="center" wrapText="1"/>
    </xf>
    <xf numFmtId="0" fontId="6" fillId="0" borderId="51" xfId="2" applyNumberFormat="1" applyFont="1" applyFill="1" applyBorder="1" applyAlignment="1" applyProtection="1">
      <alignment horizontal="center" vertical="center" wrapText="1"/>
    </xf>
    <xf numFmtId="0" fontId="5" fillId="0" borderId="45" xfId="2" applyNumberFormat="1" applyFont="1" applyFill="1" applyBorder="1" applyAlignment="1" applyProtection="1">
      <alignment horizontal="center" vertical="center" wrapText="1"/>
    </xf>
    <xf numFmtId="0" fontId="5" fillId="0" borderId="46" xfId="2" applyNumberFormat="1" applyFont="1" applyFill="1" applyBorder="1" applyAlignment="1" applyProtection="1">
      <alignment horizontal="center" vertical="center" wrapText="1"/>
    </xf>
    <xf numFmtId="0" fontId="5" fillId="0" borderId="47" xfId="2" applyNumberFormat="1" applyFont="1" applyFill="1" applyBorder="1" applyAlignment="1" applyProtection="1">
      <alignment horizontal="center" vertical="center" wrapText="1"/>
    </xf>
    <xf numFmtId="0" fontId="6" fillId="3" borderId="12" xfId="2" applyNumberFormat="1" applyFont="1" applyFill="1" applyBorder="1" applyAlignment="1" applyProtection="1">
      <alignment horizontal="center" vertical="center" wrapText="1"/>
    </xf>
    <xf numFmtId="0" fontId="5" fillId="0" borderId="35" xfId="2" applyNumberFormat="1" applyFont="1" applyFill="1" applyBorder="1" applyAlignment="1" applyProtection="1">
      <alignment horizontal="center" vertical="center" wrapText="1"/>
    </xf>
    <xf numFmtId="0" fontId="5" fillId="0" borderId="30" xfId="2" applyNumberFormat="1" applyFont="1" applyFill="1" applyBorder="1" applyAlignment="1" applyProtection="1">
      <alignment horizontal="center" vertical="center" wrapText="1"/>
    </xf>
    <xf numFmtId="0" fontId="5" fillId="0" borderId="40" xfId="2" applyNumberFormat="1" applyFont="1" applyFill="1" applyBorder="1" applyAlignment="1" applyProtection="1">
      <alignment horizontal="center" vertical="center" wrapText="1"/>
    </xf>
    <xf numFmtId="0" fontId="5" fillId="0" borderId="48" xfId="2" applyNumberFormat="1" applyFont="1" applyFill="1" applyBorder="1" applyAlignment="1" applyProtection="1">
      <alignment horizontal="center" vertical="center"/>
    </xf>
    <xf numFmtId="0" fontId="5" fillId="0" borderId="49" xfId="2" applyNumberFormat="1" applyFont="1" applyFill="1" applyBorder="1" applyAlignment="1" applyProtection="1">
      <alignment horizontal="center" vertical="center"/>
    </xf>
    <xf numFmtId="0" fontId="5" fillId="0" borderId="50" xfId="2" applyNumberFormat="1" applyFont="1" applyFill="1" applyBorder="1" applyAlignment="1" applyProtection="1">
      <alignment horizontal="center" vertical="center"/>
    </xf>
    <xf numFmtId="0" fontId="8" fillId="3" borderId="6" xfId="2" applyFont="1" applyFill="1" applyBorder="1" applyAlignment="1">
      <alignment horizontal="center" vertical="center" wrapText="1"/>
    </xf>
    <xf numFmtId="0" fontId="8" fillId="3" borderId="16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26" xfId="2" applyFont="1" applyFill="1" applyBorder="1" applyAlignment="1">
      <alignment horizontal="center" vertical="center" wrapText="1"/>
    </xf>
    <xf numFmtId="0" fontId="7" fillId="0" borderId="17" xfId="2" applyNumberFormat="1" applyFont="1" applyFill="1" applyBorder="1" applyAlignment="1">
      <alignment horizontal="center" vertical="center"/>
    </xf>
  </cellXfs>
  <cellStyles count="3">
    <cellStyle name="표준" xfId="0" builtinId="0"/>
    <cellStyle name="표준 2" xfId="2" xr:uid="{593677EB-FD21-44AA-92FA-D4AC802B39F5}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9C77-E744-41B3-A03B-68AE69DDB1C2}">
  <sheetPr>
    <pageSetUpPr fitToPage="1"/>
  </sheetPr>
  <dimension ref="A1:N72"/>
  <sheetViews>
    <sheetView tabSelected="1" zoomScale="85" zoomScaleNormal="85" zoomScaleSheetLayoutView="80" workbookViewId="0">
      <pane ySplit="5" topLeftCell="A57" activePane="bottomLeft" state="frozen"/>
      <selection activeCell="I25" sqref="I25"/>
      <selection pane="bottomLeft" activeCell="Q60" sqref="Q60"/>
    </sheetView>
  </sheetViews>
  <sheetFormatPr defaultColWidth="8.88671875" defaultRowHeight="13.5" x14ac:dyDescent="0.15"/>
  <cols>
    <col min="1" max="1" width="3.5546875" style="95" customWidth="1"/>
    <col min="2" max="2" width="7.109375" style="95" customWidth="1"/>
    <col min="3" max="3" width="27.21875" style="27" customWidth="1"/>
    <col min="4" max="4" width="8.21875" style="95" customWidth="1"/>
    <col min="5" max="12" width="4.77734375" style="95" customWidth="1"/>
    <col min="13" max="13" width="6" style="95" bestFit="1" customWidth="1"/>
    <col min="14" max="14" width="4.77734375" style="95" customWidth="1"/>
    <col min="15" max="16384" width="8.88671875" style="1"/>
  </cols>
  <sheetData>
    <row r="1" spans="1:14" ht="61.15" customHeight="1" thickBot="1" x14ac:dyDescent="0.2">
      <c r="A1" s="213" t="s">
        <v>82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5"/>
    </row>
    <row r="2" spans="1:14" ht="24" customHeight="1" thickBot="1" x14ac:dyDescent="0.2">
      <c r="A2" s="93"/>
      <c r="B2" s="93"/>
      <c r="C2" s="26"/>
      <c r="D2" s="93"/>
      <c r="E2" s="93"/>
      <c r="F2" s="93"/>
      <c r="G2" s="93"/>
      <c r="H2" s="93"/>
      <c r="I2" s="216"/>
      <c r="J2" s="216"/>
      <c r="K2" s="216"/>
      <c r="L2" s="216"/>
      <c r="M2" s="94"/>
      <c r="N2" s="94"/>
    </row>
    <row r="3" spans="1:14" ht="13.5" customHeight="1" x14ac:dyDescent="0.15">
      <c r="A3" s="217" t="s">
        <v>3</v>
      </c>
      <c r="B3" s="220" t="s">
        <v>6</v>
      </c>
      <c r="C3" s="223" t="s">
        <v>8</v>
      </c>
      <c r="D3" s="223" t="s">
        <v>7</v>
      </c>
      <c r="E3" s="223" t="s">
        <v>11</v>
      </c>
      <c r="F3" s="226" t="s">
        <v>12</v>
      </c>
      <c r="G3" s="229" t="s">
        <v>1</v>
      </c>
      <c r="H3" s="230"/>
      <c r="I3" s="231" t="s">
        <v>5</v>
      </c>
      <c r="J3" s="230"/>
      <c r="K3" s="231" t="s">
        <v>4</v>
      </c>
      <c r="L3" s="232"/>
      <c r="M3" s="217" t="s">
        <v>49</v>
      </c>
      <c r="N3" s="233" t="s">
        <v>50</v>
      </c>
    </row>
    <row r="4" spans="1:14" x14ac:dyDescent="0.15">
      <c r="A4" s="218"/>
      <c r="B4" s="221"/>
      <c r="C4" s="224"/>
      <c r="D4" s="224"/>
      <c r="E4" s="224"/>
      <c r="F4" s="227"/>
      <c r="G4" s="236" t="s">
        <v>0</v>
      </c>
      <c r="H4" s="238" t="s">
        <v>2</v>
      </c>
      <c r="I4" s="238" t="s">
        <v>0</v>
      </c>
      <c r="J4" s="238" t="s">
        <v>2</v>
      </c>
      <c r="K4" s="238" t="s">
        <v>0</v>
      </c>
      <c r="L4" s="239" t="s">
        <v>2</v>
      </c>
      <c r="M4" s="218"/>
      <c r="N4" s="234"/>
    </row>
    <row r="5" spans="1:14" ht="13.5" customHeight="1" thickBot="1" x14ac:dyDescent="0.2">
      <c r="A5" s="219"/>
      <c r="B5" s="222"/>
      <c r="C5" s="225"/>
      <c r="D5" s="225"/>
      <c r="E5" s="225"/>
      <c r="F5" s="228"/>
      <c r="G5" s="237"/>
      <c r="H5" s="222"/>
      <c r="I5" s="222"/>
      <c r="J5" s="222"/>
      <c r="K5" s="222"/>
      <c r="L5" s="240"/>
      <c r="M5" s="219"/>
      <c r="N5" s="235"/>
    </row>
    <row r="6" spans="1:14" ht="17.25" customHeight="1" x14ac:dyDescent="0.15">
      <c r="A6" s="247" t="s">
        <v>43</v>
      </c>
      <c r="B6" s="241" t="s">
        <v>37</v>
      </c>
      <c r="C6" s="59" t="s">
        <v>23</v>
      </c>
      <c r="D6" s="25" t="s">
        <v>29</v>
      </c>
      <c r="E6" s="25">
        <v>4</v>
      </c>
      <c r="F6" s="22">
        <f>SUM(G6:L6)</f>
        <v>4</v>
      </c>
      <c r="G6" s="79">
        <v>4</v>
      </c>
      <c r="H6" s="25"/>
      <c r="I6" s="35"/>
      <c r="J6" s="25"/>
      <c r="K6" s="25"/>
      <c r="L6" s="36"/>
      <c r="M6" s="243">
        <f>SUM(G6:L10)</f>
        <v>20</v>
      </c>
      <c r="N6" s="245">
        <v>8</v>
      </c>
    </row>
    <row r="7" spans="1:14" ht="17.25" customHeight="1" x14ac:dyDescent="0.15">
      <c r="A7" s="248"/>
      <c r="B7" s="242"/>
      <c r="C7" s="54" t="s">
        <v>24</v>
      </c>
      <c r="D7" s="5" t="s">
        <v>29</v>
      </c>
      <c r="E7" s="5">
        <v>4</v>
      </c>
      <c r="F7" s="4">
        <f t="shared" ref="F7:F41" si="0">SUM(G7:L7)</f>
        <v>4</v>
      </c>
      <c r="G7" s="6"/>
      <c r="H7" s="5">
        <v>4</v>
      </c>
      <c r="I7" s="5"/>
      <c r="J7" s="5"/>
      <c r="K7" s="5"/>
      <c r="L7" s="7"/>
      <c r="M7" s="244"/>
      <c r="N7" s="246"/>
    </row>
    <row r="8" spans="1:14" ht="17.25" customHeight="1" x14ac:dyDescent="0.15">
      <c r="A8" s="248"/>
      <c r="B8" s="242"/>
      <c r="C8" s="55" t="s">
        <v>16</v>
      </c>
      <c r="D8" s="8" t="s">
        <v>17</v>
      </c>
      <c r="E8" s="9" t="s">
        <v>47</v>
      </c>
      <c r="F8" s="4">
        <f t="shared" si="0"/>
        <v>4</v>
      </c>
      <c r="G8" s="10"/>
      <c r="H8" s="5"/>
      <c r="I8" s="8">
        <v>4</v>
      </c>
      <c r="J8" s="5"/>
      <c r="K8" s="5"/>
      <c r="L8" s="7"/>
      <c r="M8" s="244"/>
      <c r="N8" s="246"/>
    </row>
    <row r="9" spans="1:14" ht="17.25" customHeight="1" x14ac:dyDescent="0.15">
      <c r="A9" s="248"/>
      <c r="B9" s="242"/>
      <c r="C9" s="55" t="s">
        <v>59</v>
      </c>
      <c r="D9" s="8" t="s">
        <v>17</v>
      </c>
      <c r="E9" s="9" t="s">
        <v>47</v>
      </c>
      <c r="F9" s="4">
        <f t="shared" si="0"/>
        <v>4</v>
      </c>
      <c r="G9" s="10"/>
      <c r="H9" s="11"/>
      <c r="I9" s="5"/>
      <c r="J9" s="5">
        <v>4</v>
      </c>
      <c r="K9" s="8"/>
      <c r="L9" s="12"/>
      <c r="M9" s="244"/>
      <c r="N9" s="246"/>
    </row>
    <row r="10" spans="1:14" ht="17.25" customHeight="1" thickBot="1" x14ac:dyDescent="0.2">
      <c r="A10" s="248"/>
      <c r="B10" s="249"/>
      <c r="C10" s="50" t="s">
        <v>58</v>
      </c>
      <c r="D10" s="20" t="s">
        <v>17</v>
      </c>
      <c r="E10" s="37" t="s">
        <v>47</v>
      </c>
      <c r="F10" s="21">
        <f t="shared" si="0"/>
        <v>4</v>
      </c>
      <c r="G10" s="38"/>
      <c r="H10" s="39"/>
      <c r="I10" s="39"/>
      <c r="J10" s="39"/>
      <c r="K10" s="20">
        <v>4</v>
      </c>
      <c r="L10" s="21"/>
      <c r="M10" s="250"/>
      <c r="N10" s="251"/>
    </row>
    <row r="11" spans="1:14" ht="17.25" customHeight="1" x14ac:dyDescent="0.15">
      <c r="A11" s="248"/>
      <c r="B11" s="241" t="s">
        <v>38</v>
      </c>
      <c r="C11" s="56" t="s">
        <v>25</v>
      </c>
      <c r="D11" s="25" t="s">
        <v>29</v>
      </c>
      <c r="E11" s="24">
        <v>4</v>
      </c>
      <c r="F11" s="22">
        <f t="shared" si="0"/>
        <v>4</v>
      </c>
      <c r="G11" s="23">
        <v>4</v>
      </c>
      <c r="H11" s="24"/>
      <c r="I11" s="24"/>
      <c r="J11" s="24"/>
      <c r="K11" s="24"/>
      <c r="L11" s="40"/>
      <c r="M11" s="243">
        <f>SUM(G11:L15)</f>
        <v>16</v>
      </c>
      <c r="N11" s="245">
        <v>8</v>
      </c>
    </row>
    <row r="12" spans="1:14" ht="17.25" customHeight="1" x14ac:dyDescent="0.15">
      <c r="A12" s="248"/>
      <c r="B12" s="242"/>
      <c r="C12" s="55" t="s">
        <v>26</v>
      </c>
      <c r="D12" s="5" t="s">
        <v>29</v>
      </c>
      <c r="E12" s="11">
        <v>4</v>
      </c>
      <c r="F12" s="4">
        <f t="shared" si="0"/>
        <v>3</v>
      </c>
      <c r="G12" s="10"/>
      <c r="H12" s="11">
        <v>3</v>
      </c>
      <c r="I12" s="11"/>
      <c r="J12" s="11"/>
      <c r="K12" s="11"/>
      <c r="L12" s="13"/>
      <c r="M12" s="244"/>
      <c r="N12" s="246"/>
    </row>
    <row r="13" spans="1:14" ht="17.25" customHeight="1" x14ac:dyDescent="0.15">
      <c r="A13" s="248"/>
      <c r="B13" s="242"/>
      <c r="C13" s="78" t="s">
        <v>57</v>
      </c>
      <c r="D13" s="28" t="s">
        <v>17</v>
      </c>
      <c r="E13" s="14" t="s">
        <v>47</v>
      </c>
      <c r="F13" s="4">
        <f t="shared" si="0"/>
        <v>3</v>
      </c>
      <c r="G13" s="10"/>
      <c r="H13" s="5"/>
      <c r="I13" s="28">
        <v>3</v>
      </c>
      <c r="J13" s="5"/>
      <c r="K13" s="5"/>
      <c r="L13" s="7"/>
      <c r="M13" s="244"/>
      <c r="N13" s="246"/>
    </row>
    <row r="14" spans="1:14" ht="17.25" customHeight="1" x14ac:dyDescent="0.15">
      <c r="A14" s="248"/>
      <c r="B14" s="242"/>
      <c r="C14" s="78" t="s">
        <v>67</v>
      </c>
      <c r="D14" s="28" t="s">
        <v>17</v>
      </c>
      <c r="E14" s="14" t="s">
        <v>47</v>
      </c>
      <c r="F14" s="4">
        <f t="shared" si="0"/>
        <v>3</v>
      </c>
      <c r="G14" s="10"/>
      <c r="H14" s="5"/>
      <c r="I14" s="28">
        <v>3</v>
      </c>
      <c r="J14" s="5"/>
      <c r="K14" s="5"/>
      <c r="L14" s="7"/>
      <c r="M14" s="244"/>
      <c r="N14" s="246"/>
    </row>
    <row r="15" spans="1:14" ht="17.25" customHeight="1" thickBot="1" x14ac:dyDescent="0.2">
      <c r="A15" s="248"/>
      <c r="B15" s="249"/>
      <c r="C15" s="45" t="s">
        <v>61</v>
      </c>
      <c r="D15" s="39" t="s">
        <v>62</v>
      </c>
      <c r="E15" s="41" t="s">
        <v>63</v>
      </c>
      <c r="F15" s="42">
        <f t="shared" si="0"/>
        <v>3</v>
      </c>
      <c r="G15" s="43"/>
      <c r="H15" s="18"/>
      <c r="I15" s="39"/>
      <c r="J15" s="18">
        <v>3</v>
      </c>
      <c r="K15" s="18"/>
      <c r="L15" s="44"/>
      <c r="M15" s="250"/>
      <c r="N15" s="251"/>
    </row>
    <row r="16" spans="1:14" ht="17.25" customHeight="1" x14ac:dyDescent="0.15">
      <c r="A16" s="248"/>
      <c r="B16" s="252" t="s">
        <v>39</v>
      </c>
      <c r="C16" s="59" t="s">
        <v>27</v>
      </c>
      <c r="D16" s="25" t="s">
        <v>29</v>
      </c>
      <c r="E16" s="25">
        <v>4</v>
      </c>
      <c r="F16" s="22">
        <f t="shared" si="0"/>
        <v>3</v>
      </c>
      <c r="G16" s="79">
        <v>3</v>
      </c>
      <c r="H16" s="25"/>
      <c r="I16" s="25"/>
      <c r="J16" s="25"/>
      <c r="K16" s="25"/>
      <c r="L16" s="36"/>
      <c r="M16" s="243">
        <f>SUM(G16:L20)</f>
        <v>19</v>
      </c>
      <c r="N16" s="245">
        <v>8</v>
      </c>
    </row>
    <row r="17" spans="1:14" ht="17.25" customHeight="1" x14ac:dyDescent="0.15">
      <c r="A17" s="248"/>
      <c r="B17" s="253"/>
      <c r="C17" s="54" t="s">
        <v>28</v>
      </c>
      <c r="D17" s="5" t="s">
        <v>29</v>
      </c>
      <c r="E17" s="5">
        <v>4</v>
      </c>
      <c r="F17" s="4">
        <f t="shared" si="0"/>
        <v>4</v>
      </c>
      <c r="G17" s="6"/>
      <c r="H17" s="5">
        <v>4</v>
      </c>
      <c r="I17" s="5"/>
      <c r="J17" s="5"/>
      <c r="K17" s="5"/>
      <c r="L17" s="7"/>
      <c r="M17" s="244"/>
      <c r="N17" s="246"/>
    </row>
    <row r="18" spans="1:14" ht="17.25" customHeight="1" x14ac:dyDescent="0.15">
      <c r="A18" s="248"/>
      <c r="B18" s="253"/>
      <c r="C18" s="78" t="s">
        <v>19</v>
      </c>
      <c r="D18" s="28" t="s">
        <v>17</v>
      </c>
      <c r="E18" s="5">
        <v>4</v>
      </c>
      <c r="F18" s="4">
        <f t="shared" si="0"/>
        <v>4</v>
      </c>
      <c r="G18" s="10"/>
      <c r="H18" s="11"/>
      <c r="I18" s="28">
        <v>4</v>
      </c>
      <c r="J18" s="28"/>
      <c r="K18" s="11"/>
      <c r="L18" s="13"/>
      <c r="M18" s="244"/>
      <c r="N18" s="246"/>
    </row>
    <row r="19" spans="1:14" ht="17.25" customHeight="1" x14ac:dyDescent="0.15">
      <c r="A19" s="248"/>
      <c r="B19" s="253"/>
      <c r="C19" s="78" t="s">
        <v>20</v>
      </c>
      <c r="D19" s="28" t="s">
        <v>17</v>
      </c>
      <c r="E19" s="5">
        <v>4</v>
      </c>
      <c r="F19" s="4">
        <f t="shared" si="0"/>
        <v>4</v>
      </c>
      <c r="G19" s="10"/>
      <c r="H19" s="11"/>
      <c r="I19" s="28"/>
      <c r="J19" s="28">
        <v>4</v>
      </c>
      <c r="K19" s="11"/>
      <c r="L19" s="13"/>
      <c r="M19" s="244"/>
      <c r="N19" s="246"/>
    </row>
    <row r="20" spans="1:14" ht="17.25" customHeight="1" thickBot="1" x14ac:dyDescent="0.2">
      <c r="A20" s="248"/>
      <c r="B20" s="254"/>
      <c r="C20" s="50" t="s">
        <v>21</v>
      </c>
      <c r="D20" s="20" t="s">
        <v>17</v>
      </c>
      <c r="E20" s="39">
        <v>4</v>
      </c>
      <c r="F20" s="21">
        <f t="shared" si="0"/>
        <v>4</v>
      </c>
      <c r="G20" s="38"/>
      <c r="H20" s="39"/>
      <c r="I20" s="45"/>
      <c r="J20" s="39"/>
      <c r="K20" s="20">
        <v>4</v>
      </c>
      <c r="L20" s="19"/>
      <c r="M20" s="250"/>
      <c r="N20" s="251"/>
    </row>
    <row r="21" spans="1:14" ht="17.25" customHeight="1" x14ac:dyDescent="0.15">
      <c r="A21" s="248"/>
      <c r="B21" s="241" t="s">
        <v>40</v>
      </c>
      <c r="C21" s="56" t="s">
        <v>31</v>
      </c>
      <c r="D21" s="24" t="s">
        <v>29</v>
      </c>
      <c r="E21" s="24">
        <v>4</v>
      </c>
      <c r="F21" s="22">
        <f t="shared" si="0"/>
        <v>3</v>
      </c>
      <c r="G21" s="23">
        <v>3</v>
      </c>
      <c r="H21" s="24"/>
      <c r="I21" s="24"/>
      <c r="J21" s="24"/>
      <c r="K21" s="24"/>
      <c r="L21" s="49"/>
      <c r="M21" s="243">
        <f>SUM(G21:L22)</f>
        <v>6</v>
      </c>
      <c r="N21" s="245">
        <v>6</v>
      </c>
    </row>
    <row r="22" spans="1:14" ht="17.25" customHeight="1" x14ac:dyDescent="0.15">
      <c r="A22" s="248"/>
      <c r="B22" s="242"/>
      <c r="C22" s="55" t="s">
        <v>32</v>
      </c>
      <c r="D22" s="11" t="s">
        <v>29</v>
      </c>
      <c r="E22" s="11">
        <v>4</v>
      </c>
      <c r="F22" s="4">
        <f t="shared" si="0"/>
        <v>3</v>
      </c>
      <c r="G22" s="10"/>
      <c r="H22" s="11">
        <v>3</v>
      </c>
      <c r="I22" s="11"/>
      <c r="J22" s="11"/>
      <c r="K22" s="11"/>
      <c r="L22" s="13"/>
      <c r="M22" s="244"/>
      <c r="N22" s="246"/>
    </row>
    <row r="23" spans="1:14" ht="17.25" customHeight="1" x14ac:dyDescent="0.15">
      <c r="A23" s="248"/>
      <c r="B23" s="242"/>
      <c r="C23" s="55" t="s">
        <v>30</v>
      </c>
      <c r="D23" s="11" t="s">
        <v>29</v>
      </c>
      <c r="E23" s="11">
        <v>4</v>
      </c>
      <c r="F23" s="4">
        <f t="shared" si="0"/>
        <v>3</v>
      </c>
      <c r="G23" s="10">
        <v>3</v>
      </c>
      <c r="H23" s="11"/>
      <c r="I23" s="11"/>
      <c r="J23" s="11"/>
      <c r="K23" s="11"/>
      <c r="L23" s="13"/>
      <c r="M23" s="255">
        <f>SUM(G23:L24)</f>
        <v>6</v>
      </c>
      <c r="N23" s="256">
        <v>8</v>
      </c>
    </row>
    <row r="24" spans="1:14" ht="17.25" customHeight="1" thickBot="1" x14ac:dyDescent="0.2">
      <c r="A24" s="248"/>
      <c r="B24" s="242"/>
      <c r="C24" s="67" t="s">
        <v>60</v>
      </c>
      <c r="D24" s="34" t="s">
        <v>29</v>
      </c>
      <c r="E24" s="34">
        <v>4</v>
      </c>
      <c r="F24" s="33">
        <f t="shared" si="0"/>
        <v>3</v>
      </c>
      <c r="G24" s="84"/>
      <c r="H24" s="34">
        <v>3</v>
      </c>
      <c r="I24" s="34"/>
      <c r="J24" s="34"/>
      <c r="K24" s="34"/>
      <c r="L24" s="46"/>
      <c r="M24" s="244"/>
      <c r="N24" s="246"/>
    </row>
    <row r="25" spans="1:14" ht="17.25" customHeight="1" x14ac:dyDescent="0.15">
      <c r="A25" s="248"/>
      <c r="B25" s="241" t="s">
        <v>41</v>
      </c>
      <c r="C25" s="59" t="s">
        <v>33</v>
      </c>
      <c r="D25" s="25" t="s">
        <v>29</v>
      </c>
      <c r="E25" s="25">
        <v>4</v>
      </c>
      <c r="F25" s="68">
        <f t="shared" si="0"/>
        <v>3</v>
      </c>
      <c r="G25" s="70">
        <v>3</v>
      </c>
      <c r="H25" s="25"/>
      <c r="I25" s="25"/>
      <c r="J25" s="25"/>
      <c r="K25" s="47"/>
      <c r="L25" s="48"/>
      <c r="M25" s="243">
        <f>SUM(G25:L29)</f>
        <v>11</v>
      </c>
      <c r="N25" s="245">
        <v>10</v>
      </c>
    </row>
    <row r="26" spans="1:14" ht="17.25" customHeight="1" x14ac:dyDescent="0.15">
      <c r="A26" s="248"/>
      <c r="B26" s="242"/>
      <c r="C26" s="54" t="s">
        <v>34</v>
      </c>
      <c r="D26" s="5" t="s">
        <v>29</v>
      </c>
      <c r="E26" s="5">
        <v>4</v>
      </c>
      <c r="F26" s="72">
        <f t="shared" si="0"/>
        <v>3</v>
      </c>
      <c r="G26" s="71"/>
      <c r="H26" s="5">
        <v>3</v>
      </c>
      <c r="I26" s="5"/>
      <c r="J26" s="5"/>
      <c r="K26" s="16"/>
      <c r="L26" s="17"/>
      <c r="M26" s="244"/>
      <c r="N26" s="246"/>
    </row>
    <row r="27" spans="1:14" ht="17.25" customHeight="1" x14ac:dyDescent="0.15">
      <c r="A27" s="248"/>
      <c r="B27" s="242"/>
      <c r="C27" s="54" t="s">
        <v>35</v>
      </c>
      <c r="D27" s="5" t="s">
        <v>29</v>
      </c>
      <c r="E27" s="5">
        <v>1</v>
      </c>
      <c r="F27" s="72">
        <f t="shared" si="0"/>
        <v>1</v>
      </c>
      <c r="G27" s="71">
        <v>1</v>
      </c>
      <c r="H27" s="5"/>
      <c r="I27" s="5"/>
      <c r="J27" s="5"/>
      <c r="K27" s="16"/>
      <c r="L27" s="17"/>
      <c r="M27" s="244"/>
      <c r="N27" s="246"/>
    </row>
    <row r="28" spans="1:14" ht="17.25" customHeight="1" x14ac:dyDescent="0.15">
      <c r="A28" s="248"/>
      <c r="B28" s="242"/>
      <c r="C28" s="54" t="s">
        <v>36</v>
      </c>
      <c r="D28" s="5" t="s">
        <v>29</v>
      </c>
      <c r="E28" s="5">
        <v>1</v>
      </c>
      <c r="F28" s="69">
        <f t="shared" ref="F28" si="1">SUM(G28:L28)</f>
        <v>1</v>
      </c>
      <c r="G28" s="71"/>
      <c r="H28" s="5">
        <v>1</v>
      </c>
      <c r="I28" s="5"/>
      <c r="J28" s="53"/>
      <c r="K28" s="60"/>
      <c r="L28" s="61"/>
      <c r="M28" s="244"/>
      <c r="N28" s="246"/>
    </row>
    <row r="29" spans="1:14" ht="17.25" customHeight="1" thickBot="1" x14ac:dyDescent="0.2">
      <c r="A29" s="248"/>
      <c r="B29" s="242"/>
      <c r="C29" s="66" t="s">
        <v>77</v>
      </c>
      <c r="D29" s="52" t="s">
        <v>56</v>
      </c>
      <c r="E29" s="15" t="s">
        <v>47</v>
      </c>
      <c r="F29" s="85">
        <f t="shared" ref="F29" si="2">SUM(G29:L29)</f>
        <v>3</v>
      </c>
      <c r="G29" s="86"/>
      <c r="H29" s="34"/>
      <c r="I29" s="52">
        <v>3</v>
      </c>
      <c r="J29" s="53"/>
      <c r="K29" s="60"/>
      <c r="L29" s="61"/>
      <c r="M29" s="244"/>
      <c r="N29" s="246"/>
    </row>
    <row r="30" spans="1:14" ht="17.25" customHeight="1" x14ac:dyDescent="0.15">
      <c r="A30" s="248"/>
      <c r="B30" s="257" t="s">
        <v>42</v>
      </c>
      <c r="C30" s="101" t="s">
        <v>51</v>
      </c>
      <c r="D30" s="102" t="s">
        <v>17</v>
      </c>
      <c r="E30" s="102">
        <v>3</v>
      </c>
      <c r="F30" s="103">
        <f t="shared" si="0"/>
        <v>2</v>
      </c>
      <c r="G30" s="104">
        <v>2</v>
      </c>
      <c r="H30" s="102"/>
      <c r="I30" s="102"/>
      <c r="J30" s="105"/>
      <c r="K30" s="102"/>
      <c r="L30" s="106"/>
      <c r="M30" s="243">
        <f>SUM(G30:L35)</f>
        <v>12</v>
      </c>
      <c r="N30" s="245">
        <v>10</v>
      </c>
    </row>
    <row r="31" spans="1:14" ht="17.25" customHeight="1" x14ac:dyDescent="0.15">
      <c r="A31" s="248"/>
      <c r="B31" s="258"/>
      <c r="C31" s="107" t="s">
        <v>52</v>
      </c>
      <c r="D31" s="108" t="s">
        <v>17</v>
      </c>
      <c r="E31" s="108">
        <v>3</v>
      </c>
      <c r="F31" s="109">
        <f t="shared" si="0"/>
        <v>2</v>
      </c>
      <c r="G31" s="110"/>
      <c r="H31" s="108">
        <v>2</v>
      </c>
      <c r="I31" s="108"/>
      <c r="J31" s="108"/>
      <c r="K31" s="111"/>
      <c r="L31" s="112"/>
      <c r="M31" s="244"/>
      <c r="N31" s="246"/>
    </row>
    <row r="32" spans="1:14" ht="17.25" customHeight="1" x14ac:dyDescent="0.15">
      <c r="A32" s="248"/>
      <c r="B32" s="258"/>
      <c r="C32" s="107" t="s">
        <v>53</v>
      </c>
      <c r="D32" s="108" t="s">
        <v>18</v>
      </c>
      <c r="E32" s="108">
        <v>3</v>
      </c>
      <c r="F32" s="109">
        <f t="shared" si="0"/>
        <v>2</v>
      </c>
      <c r="G32" s="110"/>
      <c r="H32" s="108"/>
      <c r="I32" s="108">
        <v>2</v>
      </c>
      <c r="J32" s="108"/>
      <c r="K32" s="111"/>
      <c r="L32" s="112"/>
      <c r="M32" s="244"/>
      <c r="N32" s="246"/>
    </row>
    <row r="33" spans="1:14" ht="17.25" customHeight="1" x14ac:dyDescent="0.15">
      <c r="A33" s="248"/>
      <c r="B33" s="258"/>
      <c r="C33" s="107" t="s">
        <v>54</v>
      </c>
      <c r="D33" s="108" t="s">
        <v>18</v>
      </c>
      <c r="E33" s="108">
        <v>2</v>
      </c>
      <c r="F33" s="109">
        <f t="shared" si="0"/>
        <v>2</v>
      </c>
      <c r="G33" s="110"/>
      <c r="H33" s="108"/>
      <c r="I33" s="108"/>
      <c r="J33" s="108">
        <v>2</v>
      </c>
      <c r="K33" s="111"/>
      <c r="L33" s="112"/>
      <c r="M33" s="244"/>
      <c r="N33" s="246"/>
    </row>
    <row r="34" spans="1:14" ht="17.25" customHeight="1" x14ac:dyDescent="0.15">
      <c r="A34" s="248"/>
      <c r="B34" s="258"/>
      <c r="C34" s="107" t="s">
        <v>55</v>
      </c>
      <c r="D34" s="108" t="s">
        <v>56</v>
      </c>
      <c r="E34" s="113" t="s">
        <v>46</v>
      </c>
      <c r="F34" s="114">
        <f t="shared" si="0"/>
        <v>2</v>
      </c>
      <c r="G34" s="110"/>
      <c r="H34" s="108"/>
      <c r="I34" s="108"/>
      <c r="J34" s="108"/>
      <c r="K34" s="111">
        <v>2</v>
      </c>
      <c r="L34" s="112"/>
      <c r="M34" s="244"/>
      <c r="N34" s="246"/>
    </row>
    <row r="35" spans="1:14" ht="17.25" customHeight="1" thickBot="1" x14ac:dyDescent="0.2">
      <c r="A35" s="248"/>
      <c r="B35" s="259"/>
      <c r="C35" s="115" t="s">
        <v>68</v>
      </c>
      <c r="D35" s="116" t="s">
        <v>56</v>
      </c>
      <c r="E35" s="117" t="s">
        <v>46</v>
      </c>
      <c r="F35" s="118">
        <f t="shared" si="0"/>
        <v>2</v>
      </c>
      <c r="G35" s="119"/>
      <c r="H35" s="116"/>
      <c r="I35" s="116"/>
      <c r="J35" s="116"/>
      <c r="K35" s="116"/>
      <c r="L35" s="120">
        <v>2</v>
      </c>
      <c r="M35" s="250"/>
      <c r="N35" s="251"/>
    </row>
    <row r="36" spans="1:14" ht="17.25" customHeight="1" x14ac:dyDescent="0.15">
      <c r="A36" s="248"/>
      <c r="B36" s="257" t="s">
        <v>22</v>
      </c>
      <c r="C36" s="121" t="s">
        <v>44</v>
      </c>
      <c r="D36" s="122" t="s">
        <v>17</v>
      </c>
      <c r="E36" s="123" t="s">
        <v>46</v>
      </c>
      <c r="F36" s="103">
        <f t="shared" si="0"/>
        <v>2</v>
      </c>
      <c r="G36" s="124">
        <v>2</v>
      </c>
      <c r="H36" s="125"/>
      <c r="I36" s="105"/>
      <c r="J36" s="105"/>
      <c r="K36" s="122"/>
      <c r="L36" s="103"/>
      <c r="M36" s="243">
        <f>SUM(G36:L39)</f>
        <v>8</v>
      </c>
      <c r="N36" s="245">
        <v>10</v>
      </c>
    </row>
    <row r="37" spans="1:14" ht="17.25" customHeight="1" x14ac:dyDescent="0.15">
      <c r="A37" s="248"/>
      <c r="B37" s="258"/>
      <c r="C37" s="126" t="s">
        <v>48</v>
      </c>
      <c r="D37" s="127" t="s">
        <v>18</v>
      </c>
      <c r="E37" s="128" t="s">
        <v>46</v>
      </c>
      <c r="F37" s="109">
        <f t="shared" si="0"/>
        <v>2</v>
      </c>
      <c r="G37" s="129"/>
      <c r="H37" s="130">
        <v>2</v>
      </c>
      <c r="I37" s="112"/>
      <c r="J37" s="131"/>
      <c r="K37" s="127"/>
      <c r="L37" s="114"/>
      <c r="M37" s="244"/>
      <c r="N37" s="246"/>
    </row>
    <row r="38" spans="1:14" ht="17.25" customHeight="1" x14ac:dyDescent="0.15">
      <c r="A38" s="248"/>
      <c r="B38" s="258"/>
      <c r="C38" s="126" t="s">
        <v>70</v>
      </c>
      <c r="D38" s="127" t="s">
        <v>56</v>
      </c>
      <c r="E38" s="128" t="s">
        <v>46</v>
      </c>
      <c r="F38" s="109">
        <f t="shared" si="0"/>
        <v>2</v>
      </c>
      <c r="G38" s="129"/>
      <c r="H38" s="111"/>
      <c r="I38" s="130"/>
      <c r="J38" s="111"/>
      <c r="K38" s="127">
        <v>2</v>
      </c>
      <c r="L38" s="114"/>
      <c r="M38" s="244"/>
      <c r="N38" s="246"/>
    </row>
    <row r="39" spans="1:14" ht="17.25" customHeight="1" thickBot="1" x14ac:dyDescent="0.2">
      <c r="A39" s="248"/>
      <c r="B39" s="258"/>
      <c r="C39" s="132" t="s">
        <v>78</v>
      </c>
      <c r="D39" s="133" t="s">
        <v>18</v>
      </c>
      <c r="E39" s="134" t="s">
        <v>46</v>
      </c>
      <c r="F39" s="135">
        <f t="shared" si="0"/>
        <v>2</v>
      </c>
      <c r="G39" s="136"/>
      <c r="H39" s="137"/>
      <c r="I39" s="137"/>
      <c r="J39" s="137"/>
      <c r="K39" s="133"/>
      <c r="L39" s="138">
        <v>2</v>
      </c>
      <c r="M39" s="244"/>
      <c r="N39" s="246"/>
    </row>
    <row r="40" spans="1:14" ht="17.25" customHeight="1" x14ac:dyDescent="0.15">
      <c r="A40" s="248"/>
      <c r="B40" s="270" t="s">
        <v>97</v>
      </c>
      <c r="C40" s="101" t="s">
        <v>84</v>
      </c>
      <c r="D40" s="122" t="s">
        <v>17</v>
      </c>
      <c r="E40" s="123" t="s">
        <v>47</v>
      </c>
      <c r="F40" s="139">
        <f t="shared" si="0"/>
        <v>2</v>
      </c>
      <c r="G40" s="140"/>
      <c r="H40" s="141"/>
      <c r="I40" s="142"/>
      <c r="J40" s="143">
        <v>2</v>
      </c>
      <c r="K40" s="144"/>
      <c r="L40" s="145"/>
      <c r="M40" s="243">
        <f>SUM(G40:L42)</f>
        <v>6</v>
      </c>
      <c r="N40" s="245">
        <v>16</v>
      </c>
    </row>
    <row r="41" spans="1:14" ht="17.25" customHeight="1" x14ac:dyDescent="0.15">
      <c r="A41" s="248"/>
      <c r="B41" s="258"/>
      <c r="C41" s="146" t="s">
        <v>45</v>
      </c>
      <c r="D41" s="147" t="s">
        <v>18</v>
      </c>
      <c r="E41" s="148" t="s">
        <v>46</v>
      </c>
      <c r="F41" s="149">
        <f t="shared" si="0"/>
        <v>2</v>
      </c>
      <c r="G41" s="150">
        <v>2</v>
      </c>
      <c r="H41" s="131"/>
      <c r="I41" s="111"/>
      <c r="J41" s="111"/>
      <c r="K41" s="127"/>
      <c r="L41" s="151"/>
      <c r="M41" s="244"/>
      <c r="N41" s="246"/>
    </row>
    <row r="42" spans="1:14" ht="17.25" customHeight="1" thickBot="1" x14ac:dyDescent="0.2">
      <c r="A42" s="248"/>
      <c r="B42" s="259"/>
      <c r="C42" s="115" t="s">
        <v>83</v>
      </c>
      <c r="D42" s="152" t="s">
        <v>62</v>
      </c>
      <c r="E42" s="153" t="s">
        <v>81</v>
      </c>
      <c r="F42" s="154">
        <v>2</v>
      </c>
      <c r="G42" s="155"/>
      <c r="H42" s="156"/>
      <c r="I42" s="157">
        <v>2</v>
      </c>
      <c r="J42" s="158"/>
      <c r="K42" s="159"/>
      <c r="L42" s="160"/>
      <c r="M42" s="250"/>
      <c r="N42" s="251"/>
    </row>
    <row r="43" spans="1:14" ht="17.25" customHeight="1" thickBot="1" x14ac:dyDescent="0.2">
      <c r="A43" s="88"/>
      <c r="B43" s="279" t="s">
        <v>10</v>
      </c>
      <c r="C43" s="280"/>
      <c r="D43" s="161"/>
      <c r="E43" s="161"/>
      <c r="F43" s="162"/>
      <c r="G43" s="163">
        <f t="shared" ref="G43:L43" si="3">SUM(G6:G42)</f>
        <v>27</v>
      </c>
      <c r="H43" s="164">
        <f t="shared" si="3"/>
        <v>25</v>
      </c>
      <c r="I43" s="164">
        <f t="shared" si="3"/>
        <v>21</v>
      </c>
      <c r="J43" s="164">
        <f t="shared" si="3"/>
        <v>15</v>
      </c>
      <c r="K43" s="165">
        <f t="shared" si="3"/>
        <v>12</v>
      </c>
      <c r="L43" s="166">
        <f t="shared" si="3"/>
        <v>4</v>
      </c>
      <c r="M43" s="82"/>
      <c r="N43" s="83"/>
    </row>
    <row r="44" spans="1:14" s="3" customFormat="1" ht="33" customHeight="1" x14ac:dyDescent="0.15">
      <c r="A44" s="281"/>
      <c r="B44" s="167" t="s">
        <v>37</v>
      </c>
      <c r="C44" s="121" t="s">
        <v>75</v>
      </c>
      <c r="D44" s="122" t="s">
        <v>69</v>
      </c>
      <c r="E44" s="123" t="s">
        <v>47</v>
      </c>
      <c r="F44" s="103">
        <v>4</v>
      </c>
      <c r="G44" s="168"/>
      <c r="H44" s="169"/>
      <c r="I44" s="169"/>
      <c r="J44" s="169"/>
      <c r="K44" s="122"/>
      <c r="L44" s="170" t="s">
        <v>104</v>
      </c>
      <c r="M44" s="80">
        <v>4</v>
      </c>
      <c r="N44" s="260"/>
    </row>
    <row r="45" spans="1:14" s="3" customFormat="1" ht="27" x14ac:dyDescent="0.15">
      <c r="A45" s="281"/>
      <c r="B45" s="298" t="s">
        <v>38</v>
      </c>
      <c r="C45" s="171" t="s">
        <v>71</v>
      </c>
      <c r="D45" s="172" t="s">
        <v>18</v>
      </c>
      <c r="E45" s="173" t="s">
        <v>47</v>
      </c>
      <c r="F45" s="109">
        <v>3</v>
      </c>
      <c r="G45" s="174"/>
      <c r="H45" s="175"/>
      <c r="I45" s="172"/>
      <c r="J45" s="170" t="s">
        <v>101</v>
      </c>
      <c r="K45" s="176"/>
      <c r="L45" s="177"/>
      <c r="M45" s="301">
        <v>12</v>
      </c>
      <c r="N45" s="261"/>
    </row>
    <row r="46" spans="1:14" s="3" customFormat="1" ht="27" x14ac:dyDescent="0.15">
      <c r="A46" s="281"/>
      <c r="B46" s="272"/>
      <c r="C46" s="170" t="s">
        <v>87</v>
      </c>
      <c r="D46" s="178" t="s">
        <v>69</v>
      </c>
      <c r="E46" s="113" t="s">
        <v>47</v>
      </c>
      <c r="F46" s="109">
        <v>4</v>
      </c>
      <c r="G46" s="179"/>
      <c r="H46" s="178"/>
      <c r="I46" s="178"/>
      <c r="J46" s="178"/>
      <c r="K46" s="170" t="s">
        <v>104</v>
      </c>
      <c r="L46" s="180"/>
      <c r="M46" s="274"/>
      <c r="N46" s="261"/>
    </row>
    <row r="47" spans="1:14" s="3" customFormat="1" ht="27" x14ac:dyDescent="0.15">
      <c r="A47" s="281"/>
      <c r="B47" s="299"/>
      <c r="C47" s="170" t="s">
        <v>88</v>
      </c>
      <c r="D47" s="178" t="s">
        <v>56</v>
      </c>
      <c r="E47" s="113" t="s">
        <v>47</v>
      </c>
      <c r="F47" s="109">
        <v>5</v>
      </c>
      <c r="G47" s="179"/>
      <c r="H47" s="178"/>
      <c r="I47" s="178"/>
      <c r="J47" s="178"/>
      <c r="K47" s="178"/>
      <c r="L47" s="170" t="s">
        <v>105</v>
      </c>
      <c r="M47" s="275"/>
      <c r="N47" s="261"/>
    </row>
    <row r="48" spans="1:14" s="3" customFormat="1" ht="27" customHeight="1" x14ac:dyDescent="0.15">
      <c r="A48" s="281"/>
      <c r="B48" s="298" t="s">
        <v>39</v>
      </c>
      <c r="C48" s="126" t="s">
        <v>90</v>
      </c>
      <c r="D48" s="181" t="s">
        <v>18</v>
      </c>
      <c r="E48" s="113" t="s">
        <v>47</v>
      </c>
      <c r="F48" s="109">
        <v>3</v>
      </c>
      <c r="G48" s="182"/>
      <c r="H48" s="172"/>
      <c r="I48" s="172"/>
      <c r="J48" s="172"/>
      <c r="K48" s="170" t="s">
        <v>101</v>
      </c>
      <c r="L48" s="183"/>
      <c r="M48" s="301">
        <v>7</v>
      </c>
      <c r="N48" s="261"/>
    </row>
    <row r="49" spans="1:14" s="3" customFormat="1" ht="27.75" thickBot="1" x14ac:dyDescent="0.2">
      <c r="A49" s="281"/>
      <c r="B49" s="300"/>
      <c r="C49" s="184" t="s">
        <v>89</v>
      </c>
      <c r="D49" s="185" t="s">
        <v>18</v>
      </c>
      <c r="E49" s="153" t="s">
        <v>47</v>
      </c>
      <c r="F49" s="160">
        <v>4</v>
      </c>
      <c r="G49" s="119"/>
      <c r="H49" s="116"/>
      <c r="I49" s="186"/>
      <c r="J49" s="116"/>
      <c r="K49" s="152"/>
      <c r="L49" s="170" t="s">
        <v>104</v>
      </c>
      <c r="M49" s="282"/>
      <c r="N49" s="262"/>
    </row>
    <row r="50" spans="1:14" ht="31.15" customHeight="1" x14ac:dyDescent="0.15">
      <c r="A50" s="281"/>
      <c r="B50" s="271" t="s">
        <v>65</v>
      </c>
      <c r="C50" s="264" t="s">
        <v>91</v>
      </c>
      <c r="D50" s="264" t="s">
        <v>17</v>
      </c>
      <c r="E50" s="187" t="s">
        <v>47</v>
      </c>
      <c r="F50" s="103">
        <v>3</v>
      </c>
      <c r="G50" s="124"/>
      <c r="H50" s="125"/>
      <c r="I50" s="276" t="s">
        <v>100</v>
      </c>
      <c r="J50" s="169"/>
      <c r="K50" s="102"/>
      <c r="L50" s="188"/>
      <c r="M50" s="273">
        <v>27</v>
      </c>
      <c r="N50" s="260"/>
    </row>
    <row r="51" spans="1:14" x14ac:dyDescent="0.15">
      <c r="A51" s="281"/>
      <c r="B51" s="272"/>
      <c r="C51" s="263"/>
      <c r="D51" s="263"/>
      <c r="E51" s="113" t="s">
        <v>47</v>
      </c>
      <c r="F51" s="114">
        <v>3</v>
      </c>
      <c r="G51" s="129"/>
      <c r="H51" s="131"/>
      <c r="I51" s="277"/>
      <c r="J51" s="178"/>
      <c r="K51" s="108"/>
      <c r="L51" s="177"/>
      <c r="M51" s="274"/>
      <c r="N51" s="261"/>
    </row>
    <row r="52" spans="1:14" x14ac:dyDescent="0.15">
      <c r="A52" s="281"/>
      <c r="B52" s="272"/>
      <c r="C52" s="263" t="s">
        <v>92</v>
      </c>
      <c r="D52" s="263" t="s">
        <v>66</v>
      </c>
      <c r="E52" s="173" t="s">
        <v>47</v>
      </c>
      <c r="F52" s="114">
        <v>3</v>
      </c>
      <c r="G52" s="174"/>
      <c r="H52" s="175"/>
      <c r="I52" s="172"/>
      <c r="J52" s="278" t="s">
        <v>100</v>
      </c>
      <c r="K52" s="176"/>
      <c r="L52" s="180"/>
      <c r="M52" s="274"/>
      <c r="N52" s="261"/>
    </row>
    <row r="53" spans="1:14" ht="29.25" customHeight="1" x14ac:dyDescent="0.15">
      <c r="A53" s="281"/>
      <c r="B53" s="272"/>
      <c r="C53" s="263"/>
      <c r="D53" s="263"/>
      <c r="E53" s="113" t="s">
        <v>47</v>
      </c>
      <c r="F53" s="114">
        <v>3</v>
      </c>
      <c r="G53" s="129"/>
      <c r="H53" s="131"/>
      <c r="I53" s="178"/>
      <c r="J53" s="277"/>
      <c r="K53" s="108"/>
      <c r="L53" s="177"/>
      <c r="M53" s="274"/>
      <c r="N53" s="261"/>
    </row>
    <row r="54" spans="1:14" ht="22.9" customHeight="1" x14ac:dyDescent="0.15">
      <c r="A54" s="281"/>
      <c r="B54" s="272"/>
      <c r="C54" s="170" t="s">
        <v>94</v>
      </c>
      <c r="D54" s="170" t="s">
        <v>18</v>
      </c>
      <c r="E54" s="113" t="s">
        <v>47</v>
      </c>
      <c r="F54" s="114">
        <v>3</v>
      </c>
      <c r="G54" s="129"/>
      <c r="H54" s="131"/>
      <c r="I54" s="178"/>
      <c r="J54" s="170" t="s">
        <v>101</v>
      </c>
      <c r="K54" s="108"/>
      <c r="L54" s="177"/>
      <c r="M54" s="274"/>
      <c r="N54" s="261"/>
    </row>
    <row r="55" spans="1:14" ht="22.9" customHeight="1" x14ac:dyDescent="0.15">
      <c r="A55" s="281"/>
      <c r="B55" s="272"/>
      <c r="C55" s="263" t="s">
        <v>93</v>
      </c>
      <c r="D55" s="263" t="s">
        <v>18</v>
      </c>
      <c r="E55" s="113" t="s">
        <v>47</v>
      </c>
      <c r="F55" s="109">
        <v>3</v>
      </c>
      <c r="G55" s="179"/>
      <c r="H55" s="178"/>
      <c r="I55" s="178"/>
      <c r="J55" s="178"/>
      <c r="K55" s="295" t="s">
        <v>102</v>
      </c>
      <c r="L55" s="189"/>
      <c r="M55" s="274"/>
      <c r="N55" s="261"/>
    </row>
    <row r="56" spans="1:14" ht="22.9" customHeight="1" x14ac:dyDescent="0.15">
      <c r="A56" s="281"/>
      <c r="B56" s="272"/>
      <c r="C56" s="263"/>
      <c r="D56" s="263"/>
      <c r="E56" s="113" t="s">
        <v>47</v>
      </c>
      <c r="F56" s="109">
        <v>3</v>
      </c>
      <c r="G56" s="179"/>
      <c r="H56" s="178"/>
      <c r="I56" s="178"/>
      <c r="J56" s="178"/>
      <c r="K56" s="296"/>
      <c r="L56" s="189"/>
      <c r="M56" s="274"/>
      <c r="N56" s="261"/>
    </row>
    <row r="57" spans="1:14" ht="22.9" customHeight="1" x14ac:dyDescent="0.15">
      <c r="A57" s="281"/>
      <c r="B57" s="272"/>
      <c r="C57" s="263"/>
      <c r="D57" s="263"/>
      <c r="E57" s="113" t="s">
        <v>47</v>
      </c>
      <c r="F57" s="109">
        <v>3</v>
      </c>
      <c r="G57" s="179"/>
      <c r="H57" s="178"/>
      <c r="I57" s="178"/>
      <c r="J57" s="178"/>
      <c r="K57" s="297"/>
      <c r="L57" s="189"/>
      <c r="M57" s="274"/>
      <c r="N57" s="261"/>
    </row>
    <row r="58" spans="1:14" ht="22.9" customHeight="1" x14ac:dyDescent="0.15">
      <c r="A58" s="281"/>
      <c r="B58" s="272"/>
      <c r="C58" s="263"/>
      <c r="D58" s="263"/>
      <c r="E58" s="113" t="s">
        <v>47</v>
      </c>
      <c r="F58" s="114">
        <v>3</v>
      </c>
      <c r="G58" s="179"/>
      <c r="H58" s="178"/>
      <c r="I58" s="178"/>
      <c r="J58" s="178"/>
      <c r="K58" s="190"/>
      <c r="L58" s="191" t="s">
        <v>101</v>
      </c>
      <c r="M58" s="275"/>
      <c r="N58" s="261"/>
    </row>
    <row r="59" spans="1:14" ht="40.5" x14ac:dyDescent="0.15">
      <c r="A59" s="281"/>
      <c r="B59" s="192" t="s">
        <v>40</v>
      </c>
      <c r="C59" s="193" t="s">
        <v>99</v>
      </c>
      <c r="D59" s="265" t="s">
        <v>56</v>
      </c>
      <c r="E59" s="173" t="s">
        <v>47</v>
      </c>
      <c r="F59" s="109">
        <v>3</v>
      </c>
      <c r="G59" s="174"/>
      <c r="H59" s="175"/>
      <c r="I59" s="172"/>
      <c r="J59" s="172"/>
      <c r="K59" s="176"/>
      <c r="L59" s="191" t="s">
        <v>101</v>
      </c>
      <c r="M59" s="87">
        <v>3</v>
      </c>
      <c r="N59" s="261"/>
    </row>
    <row r="60" spans="1:14" ht="37.15" customHeight="1" thickBot="1" x14ac:dyDescent="0.2">
      <c r="A60" s="281"/>
      <c r="B60" s="194" t="s">
        <v>41</v>
      </c>
      <c r="C60" s="186" t="s">
        <v>98</v>
      </c>
      <c r="D60" s="266"/>
      <c r="E60" s="117" t="s">
        <v>47</v>
      </c>
      <c r="F60" s="160">
        <v>3</v>
      </c>
      <c r="G60" s="119"/>
      <c r="H60" s="116"/>
      <c r="I60" s="116"/>
      <c r="J60" s="116"/>
      <c r="K60" s="195"/>
      <c r="L60" s="196" t="s">
        <v>101</v>
      </c>
      <c r="M60" s="81">
        <v>3</v>
      </c>
      <c r="N60" s="262"/>
    </row>
    <row r="61" spans="1:14" ht="14.25" thickBot="1" x14ac:dyDescent="0.2">
      <c r="A61" s="281"/>
      <c r="B61" s="197" t="s">
        <v>22</v>
      </c>
      <c r="C61" s="184" t="s">
        <v>76</v>
      </c>
      <c r="D61" s="185" t="s">
        <v>18</v>
      </c>
      <c r="E61" s="198" t="s">
        <v>46</v>
      </c>
      <c r="F61" s="160">
        <f t="shared" ref="F44:F61" si="4">SUM(G61:L61)</f>
        <v>2</v>
      </c>
      <c r="G61" s="199"/>
      <c r="H61" s="200"/>
      <c r="I61" s="200"/>
      <c r="J61" s="200"/>
      <c r="K61" s="159"/>
      <c r="L61" s="201">
        <v>2</v>
      </c>
      <c r="M61" s="51">
        <f>SUM(G61:L61)</f>
        <v>2</v>
      </c>
      <c r="N61" s="32"/>
    </row>
    <row r="62" spans="1:14" ht="33.75" customHeight="1" x14ac:dyDescent="0.15">
      <c r="A62" s="281"/>
      <c r="B62" s="270" t="s">
        <v>64</v>
      </c>
      <c r="C62" s="202" t="s">
        <v>79</v>
      </c>
      <c r="D62" s="169" t="s">
        <v>80</v>
      </c>
      <c r="E62" s="187" t="s">
        <v>81</v>
      </c>
      <c r="F62" s="103">
        <v>2</v>
      </c>
      <c r="G62" s="124"/>
      <c r="H62" s="203" t="s">
        <v>103</v>
      </c>
      <c r="I62" s="169"/>
      <c r="J62" s="169"/>
      <c r="K62" s="102"/>
      <c r="L62" s="188"/>
      <c r="M62" s="273">
        <v>12</v>
      </c>
      <c r="N62" s="260"/>
    </row>
    <row r="63" spans="1:14" ht="27" x14ac:dyDescent="0.15">
      <c r="A63" s="281"/>
      <c r="B63" s="288"/>
      <c r="C63" s="204" t="s">
        <v>85</v>
      </c>
      <c r="D63" s="178" t="s">
        <v>80</v>
      </c>
      <c r="E63" s="113" t="s">
        <v>95</v>
      </c>
      <c r="F63" s="114">
        <v>2</v>
      </c>
      <c r="G63" s="129"/>
      <c r="H63" s="131"/>
      <c r="I63" s="170" t="s">
        <v>103</v>
      </c>
      <c r="J63" s="178"/>
      <c r="K63" s="176"/>
      <c r="L63" s="180"/>
      <c r="M63" s="274"/>
      <c r="N63" s="261"/>
    </row>
    <row r="64" spans="1:14" ht="25.5" customHeight="1" x14ac:dyDescent="0.15">
      <c r="A64" s="281"/>
      <c r="B64" s="288"/>
      <c r="C64" s="107" t="s">
        <v>72</v>
      </c>
      <c r="D64" s="108" t="s">
        <v>17</v>
      </c>
      <c r="E64" s="113" t="s">
        <v>47</v>
      </c>
      <c r="F64" s="114">
        <v>3</v>
      </c>
      <c r="G64" s="205" t="s">
        <v>101</v>
      </c>
      <c r="H64" s="108"/>
      <c r="I64" s="178"/>
      <c r="J64" s="178"/>
      <c r="K64" s="176"/>
      <c r="L64" s="180"/>
      <c r="M64" s="274"/>
      <c r="N64" s="261"/>
    </row>
    <row r="65" spans="1:14" ht="29.25" customHeight="1" x14ac:dyDescent="0.15">
      <c r="A65" s="281"/>
      <c r="B65" s="288"/>
      <c r="C65" s="107" t="s">
        <v>73</v>
      </c>
      <c r="D65" s="108" t="s">
        <v>86</v>
      </c>
      <c r="E65" s="113" t="s">
        <v>47</v>
      </c>
      <c r="F65" s="114">
        <v>3</v>
      </c>
      <c r="G65" s="110"/>
      <c r="H65" s="170" t="s">
        <v>101</v>
      </c>
      <c r="I65" s="108"/>
      <c r="J65" s="108"/>
      <c r="K65" s="108"/>
      <c r="L65" s="177"/>
      <c r="M65" s="274"/>
      <c r="N65" s="261"/>
    </row>
    <row r="66" spans="1:14" ht="32.25" customHeight="1" thickBot="1" x14ac:dyDescent="0.2">
      <c r="A66" s="281"/>
      <c r="B66" s="288"/>
      <c r="C66" s="206" t="s">
        <v>74</v>
      </c>
      <c r="D66" s="207" t="s">
        <v>86</v>
      </c>
      <c r="E66" s="207">
        <v>3</v>
      </c>
      <c r="F66" s="208">
        <v>2</v>
      </c>
      <c r="G66" s="209"/>
      <c r="H66" s="210"/>
      <c r="I66" s="211"/>
      <c r="J66" s="186" t="s">
        <v>103</v>
      </c>
      <c r="K66" s="210"/>
      <c r="L66" s="212"/>
      <c r="M66" s="282"/>
      <c r="N66" s="262"/>
    </row>
    <row r="67" spans="1:14" ht="17.25" customHeight="1" thickBot="1" x14ac:dyDescent="0.2">
      <c r="A67" s="88"/>
      <c r="B67" s="283" t="s">
        <v>96</v>
      </c>
      <c r="C67" s="284"/>
      <c r="D67" s="57"/>
      <c r="E67" s="57"/>
      <c r="F67" s="58"/>
      <c r="G67" s="74">
        <v>3</v>
      </c>
      <c r="H67" s="73">
        <v>5</v>
      </c>
      <c r="I67" s="76">
        <v>8</v>
      </c>
      <c r="J67" s="77">
        <v>14</v>
      </c>
      <c r="K67" s="73">
        <v>16</v>
      </c>
      <c r="L67" s="75">
        <v>24</v>
      </c>
      <c r="M67" s="51"/>
      <c r="N67" s="32"/>
    </row>
    <row r="68" spans="1:14" ht="17.25" customHeight="1" x14ac:dyDescent="0.15">
      <c r="A68" s="289" t="s">
        <v>9</v>
      </c>
      <c r="B68" s="290"/>
      <c r="C68" s="290"/>
      <c r="D68" s="290"/>
      <c r="E68" s="290"/>
      <c r="F68" s="291"/>
      <c r="G68" s="96">
        <f>SUM(G43,G67)</f>
        <v>30</v>
      </c>
      <c r="H68" s="98">
        <f t="shared" ref="H68:L68" si="5">SUM(H43,H67)</f>
        <v>30</v>
      </c>
      <c r="I68" s="98">
        <f t="shared" si="5"/>
        <v>29</v>
      </c>
      <c r="J68" s="2">
        <f t="shared" si="5"/>
        <v>29</v>
      </c>
      <c r="K68" s="99">
        <f t="shared" si="5"/>
        <v>28</v>
      </c>
      <c r="L68" s="97">
        <f t="shared" si="5"/>
        <v>28</v>
      </c>
      <c r="M68" s="100">
        <f>SUM(G68:L68)</f>
        <v>174</v>
      </c>
      <c r="N68" s="89"/>
    </row>
    <row r="69" spans="1:14" ht="17.25" customHeight="1" x14ac:dyDescent="0.15">
      <c r="A69" s="292" t="s">
        <v>13</v>
      </c>
      <c r="B69" s="293"/>
      <c r="C69" s="293"/>
      <c r="D69" s="293"/>
      <c r="E69" s="293"/>
      <c r="F69" s="294"/>
      <c r="G69" s="29">
        <v>3</v>
      </c>
      <c r="H69" s="30">
        <v>3</v>
      </c>
      <c r="I69" s="30">
        <v>3</v>
      </c>
      <c r="J69" s="30">
        <v>3</v>
      </c>
      <c r="K69" s="30">
        <v>3</v>
      </c>
      <c r="L69" s="31">
        <v>3</v>
      </c>
      <c r="M69" s="100">
        <f>SUM(G69:L69)</f>
        <v>18</v>
      </c>
      <c r="N69" s="90"/>
    </row>
    <row r="70" spans="1:14" ht="17.25" customHeight="1" x14ac:dyDescent="0.15">
      <c r="A70" s="267" t="s">
        <v>14</v>
      </c>
      <c r="B70" s="268"/>
      <c r="C70" s="268"/>
      <c r="D70" s="268"/>
      <c r="E70" s="268"/>
      <c r="F70" s="269"/>
      <c r="G70" s="29">
        <f>SUM(G68:G69)</f>
        <v>33</v>
      </c>
      <c r="H70" s="30">
        <f t="shared" ref="H70:K70" si="6">SUM(H68:H69)</f>
        <v>33</v>
      </c>
      <c r="I70" s="30">
        <f t="shared" si="6"/>
        <v>32</v>
      </c>
      <c r="J70" s="30">
        <f t="shared" si="6"/>
        <v>32</v>
      </c>
      <c r="K70" s="30">
        <f t="shared" si="6"/>
        <v>31</v>
      </c>
      <c r="L70" s="31">
        <f>SUM(L68:L69)</f>
        <v>31</v>
      </c>
      <c r="M70" s="100">
        <f>SUM(G70:L70)</f>
        <v>192</v>
      </c>
      <c r="N70" s="90"/>
    </row>
    <row r="71" spans="1:14" ht="17.25" customHeight="1" thickBot="1" x14ac:dyDescent="0.2">
      <c r="A71" s="285" t="s">
        <v>15</v>
      </c>
      <c r="B71" s="286"/>
      <c r="C71" s="286"/>
      <c r="D71" s="286"/>
      <c r="E71" s="286"/>
      <c r="F71" s="287"/>
      <c r="G71" s="63">
        <f t="shared" ref="G71:L71" si="7">COUNT(G6:G42,G44:G66)</f>
        <v>10</v>
      </c>
      <c r="H71" s="64">
        <f t="shared" si="7"/>
        <v>9</v>
      </c>
      <c r="I71" s="62">
        <f t="shared" si="7"/>
        <v>7</v>
      </c>
      <c r="J71" s="62">
        <f t="shared" si="7"/>
        <v>5</v>
      </c>
      <c r="K71" s="62">
        <f t="shared" si="7"/>
        <v>4</v>
      </c>
      <c r="L71" s="65">
        <f t="shared" si="7"/>
        <v>3</v>
      </c>
      <c r="M71" s="91"/>
      <c r="N71" s="92"/>
    </row>
    <row r="72" spans="1:14" ht="17.25" customHeight="1" x14ac:dyDescent="0.15"/>
  </sheetData>
  <mergeCells count="74">
    <mergeCell ref="N40:N42"/>
    <mergeCell ref="M40:M42"/>
    <mergeCell ref="B45:B47"/>
    <mergeCell ref="B48:B49"/>
    <mergeCell ref="M45:M47"/>
    <mergeCell ref="M48:M49"/>
    <mergeCell ref="N44:N49"/>
    <mergeCell ref="A71:F71"/>
    <mergeCell ref="B62:B66"/>
    <mergeCell ref="A68:F68"/>
    <mergeCell ref="A69:F69"/>
    <mergeCell ref="K55:K57"/>
    <mergeCell ref="C55:C58"/>
    <mergeCell ref="D55:D58"/>
    <mergeCell ref="A70:F70"/>
    <mergeCell ref="B40:B42"/>
    <mergeCell ref="B50:B58"/>
    <mergeCell ref="M50:M58"/>
    <mergeCell ref="I50:I51"/>
    <mergeCell ref="J52:J53"/>
    <mergeCell ref="B43:C43"/>
    <mergeCell ref="A44:A66"/>
    <mergeCell ref="M62:M66"/>
    <mergeCell ref="B67:C67"/>
    <mergeCell ref="N62:N66"/>
    <mergeCell ref="D52:D53"/>
    <mergeCell ref="C50:C51"/>
    <mergeCell ref="C52:C53"/>
    <mergeCell ref="D50:D51"/>
    <mergeCell ref="D59:D60"/>
    <mergeCell ref="N50:N60"/>
    <mergeCell ref="B30:B35"/>
    <mergeCell ref="M30:M35"/>
    <mergeCell ref="N30:N35"/>
    <mergeCell ref="B36:B39"/>
    <mergeCell ref="M36:M39"/>
    <mergeCell ref="N36:N39"/>
    <mergeCell ref="N25:N29"/>
    <mergeCell ref="A6:A42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9"/>
    <mergeCell ref="M25:M29"/>
    <mergeCell ref="A1:N1"/>
    <mergeCell ref="I2:L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3" type="noConversion"/>
  <pageMargins left="0.25" right="0.25" top="0.75" bottom="0.75" header="0.3" footer="0.3"/>
  <pageSetup paperSize="12" scale="61" fitToWidth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입학생</vt:lpstr>
      <vt:lpstr>입학생!Print_Area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민애 김</cp:lastModifiedBy>
  <cp:revision>6</cp:revision>
  <cp:lastPrinted>2025-11-27T05:22:10Z</cp:lastPrinted>
  <dcterms:created xsi:type="dcterms:W3CDTF">2002-10-10T04:04:10Z</dcterms:created>
  <dcterms:modified xsi:type="dcterms:W3CDTF">2025-11-27T07:37:02Z</dcterms:modified>
  <cp:version>0906.0100.01</cp:version>
</cp:coreProperties>
</file>