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13.03백업\2025\교무학사부\교육과정\"/>
    </mc:Choice>
  </mc:AlternateContent>
  <xr:revisionPtr revIDLastSave="0" documentId="13_ncr:1_{D438424A-1670-4397-86EC-FD789BB42A42}" xr6:coauthVersionLast="47" xr6:coauthVersionMax="47" xr10:uidLastSave="{00000000-0000-0000-0000-000000000000}"/>
  <bookViews>
    <workbookView xWindow="-120" yWindow="-120" windowWidth="29040" windowHeight="15720" tabRatio="681" activeTab="1" xr2:uid="{00000000-000D-0000-FFFF-FFFF00000000}"/>
  </bookViews>
  <sheets>
    <sheet name="2026 입학생 3개년 교육과정 편성표(기본)" sheetId="14" r:id="rId1"/>
    <sheet name="2026 입학생 3개년 교육과정 편성표(심화)" sheetId="16" r:id="rId2"/>
  </sheets>
  <definedNames>
    <definedName name="_xlnm.Print_Area" localSheetId="0">'2026 입학생 3개년 교육과정 편성표(기본)'!$A$1:$O$68</definedName>
    <definedName name="_xlnm.Print_Area" localSheetId="1">'2026 입학생 3개년 교육과정 편성표(심화)'!$A$1:$O$73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2" i="16" l="1"/>
  <c r="N59" i="16"/>
  <c r="N24" i="16"/>
  <c r="N22" i="16"/>
  <c r="N20" i="16"/>
  <c r="I75" i="16" l="1"/>
  <c r="J75" i="16"/>
  <c r="K75" i="16"/>
  <c r="L75" i="16"/>
  <c r="M75" i="16"/>
  <c r="N75" i="16"/>
  <c r="G75" i="16"/>
  <c r="H75" i="16"/>
  <c r="N76" i="16"/>
  <c r="N66" i="16"/>
  <c r="M65" i="16"/>
  <c r="L65" i="16"/>
  <c r="L77" i="16" s="1"/>
  <c r="K65" i="16"/>
  <c r="K67" i="16" s="1"/>
  <c r="J65" i="16"/>
  <c r="J77" i="16" s="1"/>
  <c r="I65" i="16"/>
  <c r="H65" i="16"/>
  <c r="N65" i="16" s="1"/>
  <c r="G65" i="16"/>
  <c r="N64" i="16"/>
  <c r="O64" i="16" s="1"/>
  <c r="N53" i="16"/>
  <c r="N46" i="16"/>
  <c r="O39" i="16"/>
  <c r="M39" i="16"/>
  <c r="L39" i="16"/>
  <c r="K39" i="16"/>
  <c r="J39" i="16"/>
  <c r="I39" i="16"/>
  <c r="H39" i="16"/>
  <c r="G39" i="16"/>
  <c r="N36" i="16"/>
  <c r="N34" i="16"/>
  <c r="N28" i="16"/>
  <c r="N16" i="16"/>
  <c r="N11" i="16"/>
  <c r="N6" i="16"/>
  <c r="Q3" i="16" s="1"/>
  <c r="Q4" i="16" s="1"/>
  <c r="Q4" i="14"/>
  <c r="Q3" i="14"/>
  <c r="N63" i="14"/>
  <c r="G65" i="14"/>
  <c r="I65" i="14"/>
  <c r="J65" i="14"/>
  <c r="K65" i="14"/>
  <c r="L65" i="14"/>
  <c r="M65" i="14"/>
  <c r="H65" i="14"/>
  <c r="L78" i="16" l="1"/>
  <c r="I77" i="16"/>
  <c r="M77" i="16"/>
  <c r="O59" i="16"/>
  <c r="N39" i="16"/>
  <c r="H67" i="16"/>
  <c r="L67" i="16"/>
  <c r="K77" i="16"/>
  <c r="J78" i="16" s="1"/>
  <c r="I67" i="16"/>
  <c r="M67" i="16"/>
  <c r="J67" i="16"/>
  <c r="J68" i="16" s="1"/>
  <c r="N65" i="14"/>
  <c r="L68" i="16" l="1"/>
  <c r="H77" i="16"/>
  <c r="N67" i="16"/>
  <c r="H68" i="16"/>
  <c r="N68" i="16" s="1"/>
  <c r="G39" i="14"/>
  <c r="N61" i="14"/>
  <c r="N60" i="14"/>
  <c r="N59" i="14"/>
  <c r="N64" i="14"/>
  <c r="N21" i="14"/>
  <c r="N16" i="14"/>
  <c r="N77" i="16" l="1"/>
  <c r="H78" i="16"/>
  <c r="N78" i="16" s="1"/>
  <c r="O59" i="14"/>
  <c r="N46" i="14"/>
  <c r="N53" i="14"/>
  <c r="N27" i="14" l="1"/>
  <c r="N24" i="14"/>
  <c r="O64" i="14" l="1"/>
  <c r="N66" i="14" l="1"/>
  <c r="N62" i="14"/>
  <c r="N36" i="14"/>
  <c r="M39" i="14"/>
  <c r="I67" i="14"/>
  <c r="K67" i="14"/>
  <c r="L67" i="14"/>
  <c r="M67" i="14"/>
  <c r="N6" i="14"/>
  <c r="H39" i="14"/>
  <c r="N22" i="14"/>
  <c r="N20" i="14"/>
  <c r="J67" i="14" l="1"/>
  <c r="J68" i="14" s="1"/>
  <c r="L68" i="14"/>
  <c r="H67" i="14"/>
  <c r="H68" i="14" s="1"/>
  <c r="N67" i="14" l="1"/>
  <c r="N68" i="14"/>
  <c r="O39" i="14"/>
  <c r="N34" i="14" l="1"/>
  <c r="N28" i="14"/>
  <c r="N11" i="14"/>
  <c r="N39" i="14" l="1"/>
  <c r="L39" i="14"/>
  <c r="K39" i="14"/>
  <c r="J39" i="14"/>
  <c r="I39" i="14"/>
</calcChain>
</file>

<file path=xl/sharedStrings.xml><?xml version="1.0" encoding="utf-8"?>
<sst xmlns="http://schemas.openxmlformats.org/spreadsheetml/2006/main" count="370" uniqueCount="112">
  <si>
    <t>1학기</t>
  </si>
  <si>
    <t>수 학</t>
  </si>
  <si>
    <t>2학기</t>
  </si>
  <si>
    <t>영 어</t>
  </si>
  <si>
    <t>체 육</t>
  </si>
  <si>
    <t>과 학</t>
  </si>
  <si>
    <t>구분</t>
  </si>
  <si>
    <t>예 술</t>
  </si>
  <si>
    <t>국 어</t>
  </si>
  <si>
    <t>학교지정</t>
  </si>
  <si>
    <t>교과(군)</t>
  </si>
  <si>
    <t>창의적 체험활동</t>
  </si>
  <si>
    <t>과목유형</t>
    <phoneticPr fontId="4" type="noConversion"/>
  </si>
  <si>
    <t>선택</t>
    <phoneticPr fontId="4" type="noConversion"/>
  </si>
  <si>
    <t>교양</t>
    <phoneticPr fontId="4" type="noConversion"/>
  </si>
  <si>
    <t>과목</t>
    <phoneticPr fontId="4" type="noConversion"/>
  </si>
  <si>
    <t>지정</t>
    <phoneticPr fontId="4" type="noConversion"/>
  </si>
  <si>
    <t>기준
학점</t>
    <phoneticPr fontId="4" type="noConversion"/>
  </si>
  <si>
    <t>운영
학점</t>
    <phoneticPr fontId="4" type="noConversion"/>
  </si>
  <si>
    <t>이수
학점</t>
    <phoneticPr fontId="4" type="noConversion"/>
  </si>
  <si>
    <t>필수
학점</t>
    <phoneticPr fontId="4" type="noConversion"/>
  </si>
  <si>
    <t>학기별 총 이수 학점</t>
    <phoneticPr fontId="4" type="noConversion"/>
  </si>
  <si>
    <t>학년별 총 이수 학점</t>
    <phoneticPr fontId="4" type="noConversion"/>
  </si>
  <si>
    <t>교과 이수 학점 소계</t>
    <phoneticPr fontId="4" type="noConversion"/>
  </si>
  <si>
    <t>이수 학점 소계</t>
    <phoneticPr fontId="4" type="noConversion"/>
  </si>
  <si>
    <t>문학</t>
    <phoneticPr fontId="4" type="noConversion"/>
  </si>
  <si>
    <t>공통</t>
    <phoneticPr fontId="4" type="noConversion"/>
  </si>
  <si>
    <t>일반</t>
    <phoneticPr fontId="4" type="noConversion"/>
  </si>
  <si>
    <t>진로</t>
    <phoneticPr fontId="4" type="noConversion"/>
  </si>
  <si>
    <t>영어Ⅰ</t>
    <phoneticPr fontId="4" type="noConversion"/>
  </si>
  <si>
    <t>영어Ⅱ</t>
    <phoneticPr fontId="4" type="noConversion"/>
  </si>
  <si>
    <t>확률과통계</t>
    <phoneticPr fontId="4" type="noConversion"/>
  </si>
  <si>
    <t>운동과건강</t>
    <phoneticPr fontId="4" type="noConversion"/>
  </si>
  <si>
    <t>음악</t>
    <phoneticPr fontId="4" type="noConversion"/>
  </si>
  <si>
    <t>택1</t>
    <phoneticPr fontId="4" type="noConversion"/>
  </si>
  <si>
    <t>택2</t>
    <phoneticPr fontId="4" type="noConversion"/>
  </si>
  <si>
    <t>택1</t>
    <phoneticPr fontId="4" type="noConversion"/>
  </si>
  <si>
    <t>학교유형: 일반고</t>
    <phoneticPr fontId="4" type="noConversion"/>
  </si>
  <si>
    <t>(  영천성남여자  )고등학교</t>
    <phoneticPr fontId="4" type="noConversion"/>
  </si>
  <si>
    <t>정보</t>
    <phoneticPr fontId="4" type="noConversion"/>
  </si>
  <si>
    <t>과목 수</t>
    <phoneticPr fontId="4" type="noConversion"/>
  </si>
  <si>
    <t>예술</t>
    <phoneticPr fontId="4" type="noConversion"/>
  </si>
  <si>
    <t>1학년(2025)</t>
    <phoneticPr fontId="4" type="noConversion"/>
  </si>
  <si>
    <t>2학년(2026)</t>
    <phoneticPr fontId="4" type="noConversion"/>
  </si>
  <si>
    <t>3학년(2027)</t>
    <phoneticPr fontId="4" type="noConversion"/>
  </si>
  <si>
    <t>공통국어1</t>
    <phoneticPr fontId="4" type="noConversion"/>
  </si>
  <si>
    <t>공통국어2</t>
    <phoneticPr fontId="4" type="noConversion"/>
  </si>
  <si>
    <t>공통수학1</t>
    <phoneticPr fontId="4" type="noConversion"/>
  </si>
  <si>
    <t>공통수학2</t>
    <phoneticPr fontId="4" type="noConversion"/>
  </si>
  <si>
    <t>공통영어1</t>
    <phoneticPr fontId="4" type="noConversion"/>
  </si>
  <si>
    <t>공통영어2</t>
    <phoneticPr fontId="4" type="noConversion"/>
  </si>
  <si>
    <t>한국사1</t>
    <phoneticPr fontId="4" type="noConversion"/>
  </si>
  <si>
    <t>독서와작문</t>
    <phoneticPr fontId="4" type="noConversion"/>
  </si>
  <si>
    <t>대수</t>
    <phoneticPr fontId="4" type="noConversion"/>
  </si>
  <si>
    <t>미적분Ⅰ</t>
    <phoneticPr fontId="4" type="noConversion"/>
  </si>
  <si>
    <t>한국사2</t>
  </si>
  <si>
    <t>통합사회1</t>
    <phoneticPr fontId="4" type="noConversion"/>
  </si>
  <si>
    <t>통합사회2</t>
  </si>
  <si>
    <t>통합과학1</t>
    <phoneticPr fontId="4" type="noConversion"/>
  </si>
  <si>
    <t>통합과학2</t>
  </si>
  <si>
    <t>과학탐구실험1</t>
    <phoneticPr fontId="4" type="noConversion"/>
  </si>
  <si>
    <t>과학탐구실험2</t>
    <phoneticPr fontId="4" type="noConversion"/>
  </si>
  <si>
    <t>미술</t>
    <phoneticPr fontId="4" type="noConversion"/>
  </si>
  <si>
    <t>체육1</t>
    <phoneticPr fontId="4" type="noConversion"/>
  </si>
  <si>
    <t>체육2</t>
    <phoneticPr fontId="4" type="noConversion"/>
  </si>
  <si>
    <t>스포츠문화</t>
    <phoneticPr fontId="4" type="noConversion"/>
  </si>
  <si>
    <t>스포츠생활1</t>
    <phoneticPr fontId="4" type="noConversion"/>
  </si>
  <si>
    <t>스포츠과학</t>
    <phoneticPr fontId="4" type="noConversion"/>
  </si>
  <si>
    <t>한문</t>
    <phoneticPr fontId="4" type="noConversion"/>
  </si>
  <si>
    <t>융합</t>
    <phoneticPr fontId="4" type="noConversion"/>
  </si>
  <si>
    <t>제2외국어/한문</t>
    <phoneticPr fontId="4" type="noConversion"/>
  </si>
  <si>
    <t>사회(역사/도덕포함)</t>
    <phoneticPr fontId="4" type="noConversion"/>
  </si>
  <si>
    <t>인공지능 기초</t>
    <phoneticPr fontId="4" type="noConversion"/>
  </si>
  <si>
    <t>제2외국어</t>
    <phoneticPr fontId="4" type="noConversion"/>
  </si>
  <si>
    <t>음악연주와 창작 / 미술 창작 / 연극</t>
    <phoneticPr fontId="4" type="noConversion"/>
  </si>
  <si>
    <t>음악감상과 비평 / 미술감상과 비평</t>
    <phoneticPr fontId="4" type="noConversion"/>
  </si>
  <si>
    <t>음악과 미디어 / 미술과 매체</t>
    <phoneticPr fontId="4" type="noConversion"/>
  </si>
  <si>
    <t>택3</t>
    <phoneticPr fontId="4" type="noConversion"/>
  </si>
  <si>
    <t>기술·가정/정보</t>
    <phoneticPr fontId="4" type="noConversion"/>
  </si>
  <si>
    <t>진로/융합</t>
    <phoneticPr fontId="4" type="noConversion"/>
  </si>
  <si>
    <t>일본 문화 / 중국 문화 / 베트남 문화</t>
    <phoneticPr fontId="4" type="noConversion"/>
  </si>
  <si>
    <t>화법과언어</t>
    <phoneticPr fontId="4" type="noConversion"/>
  </si>
  <si>
    <t>사회(역사/도덕포함)
 /과학</t>
    <phoneticPr fontId="4" type="noConversion"/>
  </si>
  <si>
    <t>택7</t>
    <phoneticPr fontId="4" type="noConversion"/>
  </si>
  <si>
    <t>학
생
선
택</t>
    <phoneticPr fontId="4" type="noConversion"/>
  </si>
  <si>
    <t>국/수학/영어/
사회(역사/도덕포함)
 /과학</t>
    <phoneticPr fontId="4" type="noConversion"/>
  </si>
  <si>
    <t>국,수,영
4~5과목 선택</t>
    <phoneticPr fontId="4" type="noConversion"/>
  </si>
  <si>
    <t>일반/진로/융합</t>
    <phoneticPr fontId="4" type="noConversion"/>
  </si>
  <si>
    <t>진로/일반</t>
    <phoneticPr fontId="4" type="noConversion"/>
  </si>
  <si>
    <t>융합/진로/일반</t>
    <phoneticPr fontId="4" type="noConversion"/>
  </si>
  <si>
    <r>
      <rPr>
        <u/>
        <sz val="10"/>
        <color theme="1"/>
        <rFont val="맑은 고딕"/>
        <family val="3"/>
        <charset val="129"/>
      </rPr>
      <t>세계시민과 지리 / 세계사</t>
    </r>
    <r>
      <rPr>
        <sz val="10"/>
        <color theme="1"/>
        <rFont val="맑은 고딕"/>
        <family val="3"/>
        <charset val="129"/>
      </rPr>
      <t xml:space="preserve"> </t>
    </r>
    <r>
      <rPr>
        <b/>
        <sz val="11"/>
        <color theme="1"/>
        <rFont val="맑은 고딕"/>
        <family val="3"/>
        <charset val="129"/>
      </rPr>
      <t xml:space="preserve">/ </t>
    </r>
    <r>
      <rPr>
        <b/>
        <sz val="10"/>
        <color theme="1"/>
        <rFont val="맑은 고딕"/>
        <family val="3"/>
        <charset val="129"/>
      </rPr>
      <t>사회와 문화/</t>
    </r>
    <r>
      <rPr>
        <sz val="10"/>
        <color theme="1"/>
        <rFont val="맑은 고딕"/>
        <family val="3"/>
        <charset val="129"/>
      </rPr>
      <t xml:space="preserve">
</t>
    </r>
    <r>
      <rPr>
        <b/>
        <sz val="10"/>
        <color theme="1"/>
        <rFont val="맑은 고딕"/>
        <family val="3"/>
        <charset val="129"/>
      </rPr>
      <t>현대사회와 윤리</t>
    </r>
    <r>
      <rPr>
        <b/>
        <sz val="11"/>
        <color theme="1"/>
        <rFont val="맑은 고딕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/ 물리학 / 화학 / 생명과학 / 지구과학</t>
    </r>
    <phoneticPr fontId="4" type="noConversion"/>
  </si>
  <si>
    <r>
      <rPr>
        <u/>
        <sz val="10"/>
        <color theme="1"/>
        <rFont val="맑은 고딕"/>
        <family val="3"/>
        <charset val="129"/>
      </rPr>
      <t>독서 토론과 글쓰기</t>
    </r>
    <r>
      <rPr>
        <sz val="10"/>
        <color rgb="FFFF0000"/>
        <rFont val="맑은 고딕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 xml:space="preserve">/ </t>
    </r>
    <r>
      <rPr>
        <b/>
        <sz val="10"/>
        <color theme="1"/>
        <rFont val="맑은 고딕"/>
        <family val="3"/>
        <charset val="129"/>
      </rPr>
      <t>매체의사소통</t>
    </r>
    <r>
      <rPr>
        <sz val="10"/>
        <color theme="1"/>
        <rFont val="맑은 고딕"/>
        <family val="3"/>
        <charset val="129"/>
      </rPr>
      <t xml:space="preserve"> 
</t>
    </r>
    <r>
      <rPr>
        <u/>
        <sz val="10"/>
        <color theme="1"/>
        <rFont val="맑은 고딕"/>
        <family val="3"/>
        <charset val="129"/>
      </rPr>
      <t>수학 과제 탐구 / 수학과 문화</t>
    </r>
    <r>
      <rPr>
        <sz val="10"/>
        <color theme="1"/>
        <rFont val="맑은 고딕"/>
        <family val="3"/>
        <charset val="129"/>
      </rPr>
      <t xml:space="preserve">
</t>
    </r>
    <r>
      <rPr>
        <u/>
        <sz val="10"/>
        <color theme="1"/>
        <rFont val="맑은 고딕"/>
        <family val="3"/>
        <charset val="129"/>
      </rPr>
      <t>영미 문학 읽기</t>
    </r>
    <r>
      <rPr>
        <b/>
        <sz val="10"/>
        <color theme="1"/>
        <rFont val="맑은 고딕"/>
        <family val="3"/>
        <charset val="129"/>
      </rPr>
      <t xml:space="preserve"> / 심화 영어 독해와 작문</t>
    </r>
    <r>
      <rPr>
        <sz val="10"/>
        <color theme="1"/>
        <rFont val="맑은 고딕"/>
        <family val="3"/>
        <charset val="129"/>
      </rPr>
      <t xml:space="preserve">
</t>
    </r>
    <r>
      <rPr>
        <b/>
        <sz val="10"/>
        <color rgb="FF00B050"/>
        <rFont val="맑은 고딕"/>
        <family val="3"/>
        <charset val="129"/>
      </rPr>
      <t xml:space="preserve">사회문제 탐구 </t>
    </r>
    <r>
      <rPr>
        <sz val="10"/>
        <color theme="1"/>
        <rFont val="맑은 고딕"/>
        <family val="3"/>
        <charset val="129"/>
      </rPr>
      <t xml:space="preserve">/ </t>
    </r>
    <r>
      <rPr>
        <b/>
        <sz val="10"/>
        <color rgb="FF00B050"/>
        <rFont val="맑은 고딕"/>
        <family val="3"/>
        <charset val="129"/>
      </rPr>
      <t>융합과학 탐구</t>
    </r>
    <phoneticPr fontId="4" type="noConversion"/>
  </si>
  <si>
    <t>인간과 경제활동 / 논술 /보건 / 생태와 환경 / 
인간과 심리 / 교육의 이해 / 진로와직업</t>
    <phoneticPr fontId="4" type="noConversion"/>
  </si>
  <si>
    <t>국,수,영
4과목 이상 선택 가능</t>
    <phoneticPr fontId="4" type="noConversion"/>
  </si>
  <si>
    <r>
      <t>한국지리탐구 /</t>
    </r>
    <r>
      <rPr>
        <u/>
        <sz val="10"/>
        <color theme="1"/>
        <rFont val="맑은 고딕"/>
        <family val="3"/>
        <charset val="129"/>
      </rPr>
      <t xml:space="preserve"> 동아시아 역사 기행</t>
    </r>
    <r>
      <rPr>
        <sz val="10"/>
        <color theme="1"/>
        <rFont val="맑은 고딕"/>
        <family val="3"/>
        <charset val="129"/>
      </rPr>
      <t xml:space="preserve"> </t>
    </r>
    <r>
      <rPr>
        <sz val="9"/>
        <color theme="1"/>
        <rFont val="맑은 고딕"/>
        <family val="3"/>
        <charset val="129"/>
      </rPr>
      <t xml:space="preserve">/ </t>
    </r>
    <r>
      <rPr>
        <b/>
        <sz val="9"/>
        <color theme="1"/>
        <rFont val="맑은 고딕"/>
        <family val="3"/>
        <charset val="129"/>
      </rPr>
      <t>법과 사회</t>
    </r>
    <r>
      <rPr>
        <b/>
        <sz val="10"/>
        <color theme="1"/>
        <rFont val="맑은 고딕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 xml:space="preserve">/
</t>
    </r>
    <r>
      <rPr>
        <u/>
        <sz val="10"/>
        <color theme="1"/>
        <rFont val="맑은 고딕"/>
        <family val="3"/>
        <charset val="129"/>
      </rPr>
      <t>경제</t>
    </r>
    <r>
      <rPr>
        <sz val="10"/>
        <color theme="1"/>
        <rFont val="맑은 고딕"/>
        <family val="3"/>
        <charset val="129"/>
      </rPr>
      <t xml:space="preserve"> / </t>
    </r>
    <r>
      <rPr>
        <b/>
        <sz val="10"/>
        <color theme="1"/>
        <rFont val="맑은 고딕"/>
        <family val="3"/>
        <charset val="129"/>
      </rPr>
      <t>윤리와사상</t>
    </r>
    <r>
      <rPr>
        <sz val="10"/>
        <color theme="1"/>
        <rFont val="맑은 고딕"/>
        <family val="3"/>
        <charset val="129"/>
      </rPr>
      <t xml:space="preserve">
역학과 에너지 /</t>
    </r>
    <r>
      <rPr>
        <sz val="9"/>
        <color theme="1"/>
        <rFont val="맑은 고딕"/>
        <family val="3"/>
        <charset val="129"/>
      </rPr>
      <t xml:space="preserve"> </t>
    </r>
    <r>
      <rPr>
        <b/>
        <sz val="9"/>
        <color theme="1"/>
        <rFont val="맑은 고딕"/>
        <family val="3"/>
        <charset val="129"/>
      </rPr>
      <t>물질과에너지</t>
    </r>
    <r>
      <rPr>
        <sz val="10"/>
        <color theme="1"/>
        <rFont val="맑은 고딕"/>
        <family val="3"/>
        <charset val="129"/>
      </rPr>
      <t xml:space="preserve"> / 세포와 물질대사</t>
    </r>
    <r>
      <rPr>
        <b/>
        <sz val="10"/>
        <color theme="1"/>
        <rFont val="맑은 고딕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 xml:space="preserve">/ 지구시스템과학 /
</t>
    </r>
    <r>
      <rPr>
        <b/>
        <sz val="10"/>
        <color theme="1"/>
        <rFont val="맑은 고딕"/>
        <family val="3"/>
        <charset val="129"/>
      </rPr>
      <t>생명과학실험</t>
    </r>
    <r>
      <rPr>
        <sz val="10"/>
        <color theme="1"/>
        <rFont val="맑은 고딕"/>
        <family val="3"/>
        <charset val="129"/>
      </rPr>
      <t xml:space="preserve"> / </t>
    </r>
    <r>
      <rPr>
        <b/>
        <sz val="10"/>
        <color theme="1"/>
        <rFont val="맑은 고딕"/>
        <family val="3"/>
        <charset val="129"/>
      </rPr>
      <t>물리학실험</t>
    </r>
    <r>
      <rPr>
        <sz val="10"/>
        <color theme="1"/>
        <rFont val="맑은 고딕"/>
        <family val="3"/>
        <charset val="129"/>
      </rPr>
      <t xml:space="preserve"> / </t>
    </r>
    <r>
      <rPr>
        <b/>
        <sz val="10"/>
        <color theme="1"/>
        <rFont val="맑은 고딕"/>
        <family val="3"/>
        <charset val="129"/>
      </rPr>
      <t>화학실험</t>
    </r>
    <phoneticPr fontId="4" type="noConversion"/>
  </si>
  <si>
    <t>택6</t>
    <phoneticPr fontId="4" type="noConversion"/>
  </si>
  <si>
    <t>국, 수, 영</t>
    <phoneticPr fontId="4" type="noConversion"/>
  </si>
  <si>
    <t>교양/수학</t>
    <phoneticPr fontId="4" type="noConversion"/>
  </si>
  <si>
    <t>교양/과학</t>
    <phoneticPr fontId="4" type="noConversion"/>
  </si>
  <si>
    <t>선택1</t>
    <phoneticPr fontId="4" type="noConversion"/>
  </si>
  <si>
    <t>사회/과학</t>
    <phoneticPr fontId="4" type="noConversion"/>
  </si>
  <si>
    <t>인문학적 상상여행 / 문제해결기법탐구</t>
    <phoneticPr fontId="4" type="noConversion"/>
  </si>
  <si>
    <t xml:space="preserve">인간과 철학 </t>
    <phoneticPr fontId="4" type="noConversion"/>
  </si>
  <si>
    <t>비판적 사고와 철학 / 공학커뮤니케이션 / 인간생활과 생명과학</t>
    <phoneticPr fontId="4" type="noConversion"/>
  </si>
  <si>
    <t>미래 사회학 / 화학원리탐구 / 유전학개론 / Conceptual 물리학Ⅰ</t>
    <phoneticPr fontId="4" type="noConversion"/>
  </si>
  <si>
    <t>창의적 체험활동</t>
    <phoneticPr fontId="4" type="noConversion"/>
  </si>
  <si>
    <t>심
화
선
택</t>
    <phoneticPr fontId="4" type="noConversion"/>
  </si>
  <si>
    <r>
      <t xml:space="preserve">학기말 자율적 
교육과정 주간
소인수 및 학교밖 학점 이수  
</t>
    </r>
    <r>
      <rPr>
        <b/>
        <sz val="10"/>
        <color rgb="FFFF0000"/>
        <rFont val="맑은 고딕"/>
        <family val="3"/>
        <charset val="129"/>
      </rPr>
      <t>심화선택</t>
    </r>
    <r>
      <rPr>
        <b/>
        <sz val="10"/>
        <color rgb="FF000000"/>
        <rFont val="맑은 고딕"/>
        <family val="3"/>
        <charset val="129"/>
      </rPr>
      <t xml:space="preserve"> 운영 </t>
    </r>
    <phoneticPr fontId="4" type="noConversion"/>
  </si>
  <si>
    <t>논리와 사고</t>
    <phoneticPr fontId="4" type="noConversion"/>
  </si>
  <si>
    <t>션택1</t>
    <phoneticPr fontId="4" type="noConversion"/>
  </si>
  <si>
    <t>2026학년도 입학생 3개년 교육과정 편성표</t>
    <phoneticPr fontId="4" type="noConversion"/>
  </si>
  <si>
    <r>
      <rPr>
        <b/>
        <sz val="10"/>
        <color theme="1"/>
        <rFont val="맑은 고딕"/>
        <family val="3"/>
        <charset val="129"/>
      </rPr>
      <t xml:space="preserve">언어생활과 탐구 </t>
    </r>
    <r>
      <rPr>
        <sz val="10"/>
        <color theme="1"/>
        <rFont val="맑은 고딕"/>
        <family val="3"/>
        <charset val="129"/>
      </rPr>
      <t xml:space="preserve">/ </t>
    </r>
    <r>
      <rPr>
        <sz val="10"/>
        <color rgb="FFFF0000"/>
        <rFont val="맑은 고딕"/>
        <family val="3"/>
        <charset val="129"/>
      </rPr>
      <t>문학과 영상</t>
    </r>
    <r>
      <rPr>
        <sz val="10"/>
        <color theme="1"/>
        <rFont val="맑은 고딕"/>
        <family val="3"/>
        <charset val="129"/>
      </rPr>
      <t xml:space="preserve">
</t>
    </r>
    <r>
      <rPr>
        <b/>
        <sz val="10"/>
        <color theme="1"/>
        <rFont val="맑은 고딕"/>
        <family val="3"/>
        <charset val="129"/>
      </rPr>
      <t xml:space="preserve">영어 독해와 작문 </t>
    </r>
    <r>
      <rPr>
        <sz val="10"/>
        <color theme="1"/>
        <rFont val="맑은 고딕"/>
        <family val="3"/>
        <charset val="129"/>
      </rPr>
      <t xml:space="preserve">/ </t>
    </r>
    <r>
      <rPr>
        <sz val="10"/>
        <color rgb="FFFF0000"/>
        <rFont val="맑은 고딕"/>
        <family val="3"/>
        <charset val="129"/>
      </rPr>
      <t>심화 영어</t>
    </r>
    <r>
      <rPr>
        <sz val="10"/>
        <color theme="1"/>
        <rFont val="맑은 고딕"/>
        <family val="3"/>
        <charset val="129"/>
      </rPr>
      <t xml:space="preserve">
</t>
    </r>
    <r>
      <rPr>
        <b/>
        <sz val="10"/>
        <color theme="1"/>
        <rFont val="맑은 고딕"/>
        <family val="3"/>
        <charset val="129"/>
      </rPr>
      <t xml:space="preserve">실용 통계 / </t>
    </r>
    <r>
      <rPr>
        <sz val="10"/>
        <color rgb="FFFF0000"/>
        <rFont val="맑은 고딕"/>
        <family val="3"/>
        <charset val="129"/>
      </rPr>
      <t xml:space="preserve">경제수학 </t>
    </r>
    <r>
      <rPr>
        <sz val="10"/>
        <color theme="1"/>
        <rFont val="맑은 고딕"/>
        <family val="3"/>
        <charset val="129"/>
      </rPr>
      <t xml:space="preserve">/ </t>
    </r>
    <r>
      <rPr>
        <b/>
        <u/>
        <sz val="10"/>
        <color theme="1"/>
        <rFont val="맑은 고딕"/>
        <family val="3"/>
        <charset val="129"/>
      </rPr>
      <t>기하 / 미적분Ⅱ</t>
    </r>
    <r>
      <rPr>
        <sz val="10"/>
        <color theme="1"/>
        <rFont val="맑은 고딕"/>
        <family val="3"/>
        <charset val="129"/>
      </rPr>
      <t xml:space="preserve">
도시의 미래탐구 /</t>
    </r>
    <r>
      <rPr>
        <b/>
        <sz val="10"/>
        <color theme="1"/>
        <rFont val="맑은 고딕"/>
        <family val="3"/>
        <charset val="129"/>
      </rPr>
      <t xml:space="preserve"> 정치</t>
    </r>
    <r>
      <rPr>
        <sz val="10"/>
        <color theme="1"/>
        <rFont val="맑은 고딕"/>
        <family val="3"/>
        <charset val="129"/>
      </rPr>
      <t xml:space="preserve"> / 인문학과 윤리</t>
    </r>
    <r>
      <rPr>
        <b/>
        <sz val="10"/>
        <color theme="1"/>
        <rFont val="맑은 고딕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 xml:space="preserve">/ 국제관계의 이해/
전자기와 양자 / </t>
    </r>
    <r>
      <rPr>
        <b/>
        <sz val="10"/>
        <color theme="1"/>
        <rFont val="맑은 고딕"/>
        <family val="3"/>
        <charset val="129"/>
      </rPr>
      <t xml:space="preserve">화학 반응의 세계 </t>
    </r>
    <r>
      <rPr>
        <sz val="10"/>
        <color theme="1"/>
        <rFont val="맑은 고딕"/>
        <family val="3"/>
        <charset val="129"/>
      </rPr>
      <t>/ 생물의 유전 / 행성우주과학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</si>
</sst>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27" x14ac:knownFonts="1">
    <font>
      <sz val="11"/>
      <color rgb="FF000000"/>
      <name val="돋움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b/>
      <sz val="11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rgb="FF0070C0"/>
      <name val="맑은 고딕"/>
      <family val="3"/>
      <charset val="129"/>
    </font>
    <font>
      <sz val="11"/>
      <color rgb="FF0070C0"/>
      <name val="맑은 고딕"/>
      <family val="3"/>
      <charset val="129"/>
    </font>
    <font>
      <u/>
      <sz val="10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00B05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0"/>
      <color rgb="FF3106E8"/>
      <name val="맑은 고딕"/>
      <family val="3"/>
      <charset val="129"/>
    </font>
    <font>
      <b/>
      <sz val="11"/>
      <color rgb="FF3106E8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4">
    <xf numFmtId="0" fontId="0" fillId="0" borderId="0" xfId="0"/>
    <xf numFmtId="0" fontId="1" fillId="0" borderId="10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7" fillId="0" borderId="6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177" fontId="10" fillId="0" borderId="12" xfId="0" applyNumberFormat="1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177" fontId="10" fillId="0" borderId="25" xfId="0" applyNumberFormat="1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0" borderId="16" xfId="0" quotePrefix="1" applyFont="1" applyBorder="1" applyAlignment="1">
      <alignment horizontal="center" vertical="center" wrapText="1"/>
    </xf>
    <xf numFmtId="0" fontId="10" fillId="0" borderId="25" xfId="0" quotePrefix="1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176" fontId="10" fillId="0" borderId="16" xfId="0" applyNumberFormat="1" applyFont="1" applyBorder="1" applyAlignment="1">
      <alignment horizontal="center" vertical="center" wrapText="1"/>
    </xf>
    <xf numFmtId="176" fontId="10" fillId="0" borderId="25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 shrinkToFit="1"/>
    </xf>
    <xf numFmtId="0" fontId="11" fillId="0" borderId="25" xfId="0" applyFont="1" applyBorder="1" applyAlignment="1">
      <alignment horizontal="center" vertical="center" wrapText="1" shrinkToFit="1"/>
    </xf>
    <xf numFmtId="0" fontId="10" fillId="0" borderId="45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0" fillId="0" borderId="50" xfId="0" applyFont="1" applyBorder="1" applyAlignment="1">
      <alignment horizontal="center" vertical="center" wrapText="1"/>
    </xf>
    <xf numFmtId="0" fontId="10" fillId="0" borderId="52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 wrapText="1"/>
    </xf>
    <xf numFmtId="0" fontId="10" fillId="0" borderId="44" xfId="0" quotePrefix="1" applyFont="1" applyBorder="1" applyAlignment="1">
      <alignment horizontal="center" vertical="center" wrapText="1"/>
    </xf>
    <xf numFmtId="0" fontId="10" fillId="0" borderId="35" xfId="0" quotePrefix="1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3" borderId="29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 shrinkToFit="1"/>
    </xf>
    <xf numFmtId="0" fontId="10" fillId="0" borderId="4" xfId="0" applyFont="1" applyBorder="1" applyAlignment="1">
      <alignment horizontal="center" vertical="center" wrapText="1"/>
    </xf>
    <xf numFmtId="176" fontId="10" fillId="0" borderId="4" xfId="0" applyNumberFormat="1" applyFont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0" fillId="0" borderId="63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61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4" xfId="0" quotePrefix="1" applyFont="1" applyBorder="1" applyAlignment="1">
      <alignment horizontal="center" vertical="center" wrapText="1"/>
    </xf>
    <xf numFmtId="0" fontId="10" fillId="0" borderId="20" xfId="0" quotePrefix="1" applyFont="1" applyBorder="1" applyAlignment="1">
      <alignment horizontal="center" vertical="center" wrapText="1"/>
    </xf>
    <xf numFmtId="0" fontId="10" fillId="0" borderId="37" xfId="0" quotePrefix="1" applyFont="1" applyBorder="1" applyAlignment="1">
      <alignment horizontal="center" vertical="center" wrapText="1"/>
    </xf>
    <xf numFmtId="0" fontId="13" fillId="0" borderId="6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62" xfId="0" applyFont="1" applyBorder="1" applyAlignment="1">
      <alignment horizontal="center" vertical="center" wrapText="1"/>
    </xf>
    <xf numFmtId="0" fontId="10" fillId="0" borderId="43" xfId="0" quotePrefix="1" applyFont="1" applyBorder="1" applyAlignment="1">
      <alignment horizontal="center" vertical="center" wrapText="1"/>
    </xf>
    <xf numFmtId="0" fontId="2" fillId="0" borderId="66" xfId="0" applyFont="1" applyBorder="1" applyAlignment="1">
      <alignment horizontal="center" vertical="center" wrapText="1"/>
    </xf>
    <xf numFmtId="0" fontId="10" fillId="0" borderId="54" xfId="0" applyFont="1" applyBorder="1" applyAlignment="1">
      <alignment horizontal="center" vertical="center" wrapText="1"/>
    </xf>
    <xf numFmtId="176" fontId="10" fillId="0" borderId="6" xfId="0" applyNumberFormat="1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0" xfId="0" applyFont="1"/>
    <xf numFmtId="0" fontId="10" fillId="0" borderId="1" xfId="0" applyFont="1" applyBorder="1" applyAlignment="1">
      <alignment horizontal="center" vertical="center" wrapText="1"/>
    </xf>
    <xf numFmtId="176" fontId="10" fillId="0" borderId="1" xfId="0" applyNumberFormat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74" xfId="0" applyFont="1" applyBorder="1" applyAlignment="1">
      <alignment horizontal="center" vertical="center" wrapText="1"/>
    </xf>
    <xf numFmtId="0" fontId="10" fillId="0" borderId="47" xfId="0" applyFont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 shrinkToFit="1"/>
    </xf>
    <xf numFmtId="176" fontId="23" fillId="4" borderId="1" xfId="0" applyNumberFormat="1" applyFont="1" applyFill="1" applyBorder="1" applyAlignment="1">
      <alignment horizontal="center" vertical="center" wrapText="1"/>
    </xf>
    <xf numFmtId="0" fontId="23" fillId="4" borderId="32" xfId="0" applyFont="1" applyFill="1" applyBorder="1" applyAlignment="1">
      <alignment horizontal="center" vertical="center" wrapText="1"/>
    </xf>
    <xf numFmtId="0" fontId="23" fillId="4" borderId="47" xfId="0" applyFont="1" applyFill="1" applyBorder="1" applyAlignment="1">
      <alignment horizontal="center" vertical="center" wrapText="1"/>
    </xf>
    <xf numFmtId="0" fontId="23" fillId="4" borderId="74" xfId="0" applyFont="1" applyFill="1" applyBorder="1" applyAlignment="1">
      <alignment horizontal="center" vertical="center" wrapText="1"/>
    </xf>
    <xf numFmtId="0" fontId="23" fillId="4" borderId="4" xfId="0" applyFont="1" applyFill="1" applyBorder="1" applyAlignment="1">
      <alignment horizontal="center" vertical="center" wrapText="1" shrinkToFit="1"/>
    </xf>
    <xf numFmtId="0" fontId="23" fillId="4" borderId="4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46" xfId="0" applyFont="1" applyFill="1" applyBorder="1" applyAlignment="1">
      <alignment horizontal="center" vertical="center" wrapText="1"/>
    </xf>
    <xf numFmtId="0" fontId="24" fillId="4" borderId="41" xfId="0" applyFont="1" applyFill="1" applyBorder="1" applyAlignment="1">
      <alignment horizontal="center" vertical="center" wrapText="1"/>
    </xf>
    <xf numFmtId="0" fontId="24" fillId="4" borderId="75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 shrinkToFit="1"/>
    </xf>
    <xf numFmtId="0" fontId="23" fillId="4" borderId="6" xfId="0" applyFont="1" applyFill="1" applyBorder="1" applyAlignment="1">
      <alignment horizontal="center" vertical="center" wrapText="1"/>
    </xf>
    <xf numFmtId="0" fontId="23" fillId="4" borderId="6" xfId="0" applyFont="1" applyFill="1" applyBorder="1" applyAlignment="1">
      <alignment horizontal="center" vertical="center"/>
    </xf>
    <xf numFmtId="0" fontId="23" fillId="4" borderId="36" xfId="0" applyFont="1" applyFill="1" applyBorder="1" applyAlignment="1">
      <alignment horizontal="center" vertical="center"/>
    </xf>
    <xf numFmtId="0" fontId="23" fillId="4" borderId="48" xfId="0" applyFont="1" applyFill="1" applyBorder="1" applyAlignment="1">
      <alignment horizontal="center" vertical="center"/>
    </xf>
    <xf numFmtId="0" fontId="23" fillId="4" borderId="66" xfId="0" applyFont="1" applyFill="1" applyBorder="1" applyAlignment="1">
      <alignment horizontal="center" vertical="center" wrapText="1"/>
    </xf>
    <xf numFmtId="176" fontId="23" fillId="4" borderId="26" xfId="0" applyNumberFormat="1" applyFont="1" applyFill="1" applyBorder="1" applyAlignment="1">
      <alignment horizontal="center" vertical="center"/>
    </xf>
    <xf numFmtId="0" fontId="23" fillId="4" borderId="26" xfId="0" applyFont="1" applyFill="1" applyBorder="1" applyAlignment="1">
      <alignment horizontal="center" vertical="center"/>
    </xf>
    <xf numFmtId="0" fontId="23" fillId="4" borderId="40" xfId="0" applyFont="1" applyFill="1" applyBorder="1" applyAlignment="1">
      <alignment horizontal="center" vertical="center"/>
    </xf>
    <xf numFmtId="0" fontId="23" fillId="4" borderId="83" xfId="0" applyFont="1" applyFill="1" applyBorder="1" applyAlignment="1">
      <alignment horizontal="center" vertical="center"/>
    </xf>
    <xf numFmtId="0" fontId="23" fillId="4" borderId="54" xfId="0" applyFont="1" applyFill="1" applyBorder="1" applyAlignment="1">
      <alignment horizontal="center" vertical="center" wrapText="1"/>
    </xf>
    <xf numFmtId="0" fontId="23" fillId="4" borderId="32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3" fillId="4" borderId="47" xfId="0" applyFont="1" applyFill="1" applyBorder="1" applyAlignment="1">
      <alignment horizontal="center" vertical="center"/>
    </xf>
    <xf numFmtId="0" fontId="23" fillId="4" borderId="41" xfId="0" applyFont="1" applyFill="1" applyBorder="1" applyAlignment="1">
      <alignment horizontal="center" vertical="center"/>
    </xf>
    <xf numFmtId="0" fontId="23" fillId="4" borderId="41" xfId="0" applyFont="1" applyFill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0" fontId="10" fillId="0" borderId="54" xfId="0" applyFont="1" applyBorder="1" applyAlignment="1">
      <alignment horizontal="center" vertical="center" wrapText="1"/>
    </xf>
    <xf numFmtId="0" fontId="10" fillId="0" borderId="56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5" fillId="0" borderId="60" xfId="0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0" fontId="5" fillId="0" borderId="64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 shrinkToFit="1"/>
    </xf>
    <xf numFmtId="0" fontId="11" fillId="0" borderId="26" xfId="0" applyFont="1" applyBorder="1" applyAlignment="1">
      <alignment horizontal="center" vertical="center" wrapText="1" shrinkToFit="1"/>
    </xf>
    <xf numFmtId="0" fontId="10" fillId="0" borderId="67" xfId="0" applyFont="1" applyBorder="1" applyAlignment="1">
      <alignment horizontal="center" vertical="center" wrapText="1"/>
    </xf>
    <xf numFmtId="0" fontId="10" fillId="0" borderId="68" xfId="0" applyFont="1" applyBorder="1" applyAlignment="1">
      <alignment horizontal="center" vertical="center" wrapText="1"/>
    </xf>
    <xf numFmtId="0" fontId="10" fillId="0" borderId="69" xfId="0" applyFont="1" applyBorder="1" applyAlignment="1">
      <alignment horizontal="center" vertical="center" wrapText="1"/>
    </xf>
    <xf numFmtId="0" fontId="10" fillId="0" borderId="52" xfId="0" applyFont="1" applyBorder="1" applyAlignment="1">
      <alignment horizontal="center" vertical="center" wrapText="1"/>
    </xf>
    <xf numFmtId="0" fontId="10" fillId="0" borderId="50" xfId="0" applyFont="1" applyBorder="1" applyAlignment="1">
      <alignment horizontal="center" vertical="center" wrapText="1"/>
    </xf>
    <xf numFmtId="0" fontId="10" fillId="0" borderId="51" xfId="0" applyFont="1" applyBorder="1" applyAlignment="1">
      <alignment horizontal="center" vertical="center" wrapText="1"/>
    </xf>
    <xf numFmtId="0" fontId="10" fillId="0" borderId="53" xfId="0" applyFont="1" applyBorder="1" applyAlignment="1">
      <alignment horizontal="center" vertical="center" wrapText="1"/>
    </xf>
    <xf numFmtId="0" fontId="10" fillId="0" borderId="70" xfId="0" applyFont="1" applyBorder="1" applyAlignment="1">
      <alignment horizontal="center" vertical="center" wrapText="1"/>
    </xf>
    <xf numFmtId="0" fontId="10" fillId="0" borderId="7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 wrapText="1"/>
    </xf>
    <xf numFmtId="0" fontId="10" fillId="0" borderId="66" xfId="0" applyFont="1" applyBorder="1" applyAlignment="1">
      <alignment horizontal="center" vertical="center" wrapText="1"/>
    </xf>
    <xf numFmtId="0" fontId="10" fillId="0" borderId="72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right"/>
    </xf>
    <xf numFmtId="0" fontId="2" fillId="0" borderId="24" xfId="0" applyFont="1" applyBorder="1" applyAlignment="1">
      <alignment horizontal="right"/>
    </xf>
    <xf numFmtId="0" fontId="9" fillId="0" borderId="2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2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2" fillId="2" borderId="47" xfId="0" applyFont="1" applyFill="1" applyBorder="1" applyAlignment="1">
      <alignment horizontal="center" vertical="center" wrapText="1"/>
    </xf>
    <xf numFmtId="0" fontId="2" fillId="2" borderId="47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 vertical="center"/>
    </xf>
    <xf numFmtId="0" fontId="3" fillId="0" borderId="37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2" fillId="0" borderId="59" xfId="0" applyFont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2" fillId="0" borderId="73" xfId="0" applyFont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6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3" fillId="4" borderId="4" xfId="0" applyFont="1" applyFill="1" applyBorder="1" applyAlignment="1">
      <alignment horizontal="center" vertical="center"/>
    </xf>
    <xf numFmtId="0" fontId="23" fillId="4" borderId="46" xfId="0" applyFont="1" applyFill="1" applyBorder="1" applyAlignment="1">
      <alignment horizontal="center" vertical="center"/>
    </xf>
    <xf numFmtId="0" fontId="25" fillId="4" borderId="60" xfId="0" applyFont="1" applyFill="1" applyBorder="1" applyAlignment="1">
      <alignment horizontal="center" vertical="center" wrapText="1"/>
    </xf>
    <xf numFmtId="0" fontId="25" fillId="4" borderId="57" xfId="0" applyFont="1" applyFill="1" applyBorder="1" applyAlignment="1">
      <alignment horizontal="center" vertical="center" wrapText="1"/>
    </xf>
    <xf numFmtId="0" fontId="25" fillId="4" borderId="64" xfId="0" applyFont="1" applyFill="1" applyBorder="1" applyAlignment="1">
      <alignment horizontal="center" vertical="center" wrapText="1"/>
    </xf>
    <xf numFmtId="0" fontId="2" fillId="4" borderId="80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81" xfId="0" applyFont="1" applyFill="1" applyBorder="1" applyAlignment="1">
      <alignment horizontal="center" vertical="center" wrapText="1"/>
    </xf>
    <xf numFmtId="0" fontId="2" fillId="4" borderId="82" xfId="0" applyFont="1" applyFill="1" applyBorder="1" applyAlignment="1">
      <alignment horizontal="center" vertical="center" wrapText="1"/>
    </xf>
    <xf numFmtId="0" fontId="23" fillId="4" borderId="9" xfId="0" applyFont="1" applyFill="1" applyBorder="1" applyAlignment="1">
      <alignment horizontal="center" vertical="center" wrapText="1"/>
    </xf>
    <xf numFmtId="0" fontId="23" fillId="4" borderId="62" xfId="0" applyFont="1" applyFill="1" applyBorder="1" applyAlignment="1">
      <alignment horizontal="center" vertical="center" wrapText="1"/>
    </xf>
    <xf numFmtId="0" fontId="23" fillId="4" borderId="32" xfId="0" applyFont="1" applyFill="1" applyBorder="1" applyAlignment="1">
      <alignment horizontal="center" vertical="center"/>
    </xf>
    <xf numFmtId="0" fontId="23" fillId="4" borderId="76" xfId="0" applyFont="1" applyFill="1" applyBorder="1" applyAlignment="1">
      <alignment horizontal="center" vertical="center"/>
    </xf>
    <xf numFmtId="0" fontId="23" fillId="4" borderId="77" xfId="0" applyFont="1" applyFill="1" applyBorder="1" applyAlignment="1">
      <alignment horizontal="center" vertical="center"/>
    </xf>
    <xf numFmtId="0" fontId="23" fillId="4" borderId="46" xfId="0" applyFont="1" applyFill="1" applyBorder="1" applyAlignment="1">
      <alignment horizontal="center" vertical="center" wrapText="1"/>
    </xf>
    <xf numFmtId="0" fontId="23" fillId="4" borderId="78" xfId="0" applyFont="1" applyFill="1" applyBorder="1" applyAlignment="1">
      <alignment horizontal="center" vertical="center" wrapText="1"/>
    </xf>
    <xf numFmtId="0" fontId="23" fillId="4" borderId="79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3106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0"/>
  <sheetViews>
    <sheetView zoomScale="115" zoomScaleNormal="115" zoomScaleSheetLayoutView="100" workbookViewId="0">
      <pane xSplit="2" ySplit="5" topLeftCell="C6" activePane="bottomRight" state="frozen"/>
      <selection activeCell="C76" sqref="C76"/>
      <selection pane="topRight" activeCell="C76" sqref="C76"/>
      <selection pane="bottomLeft" activeCell="C76" sqref="C76"/>
      <selection pane="bottomRight" activeCell="C10" sqref="C10"/>
    </sheetView>
  </sheetViews>
  <sheetFormatPr defaultColWidth="8.88671875" defaultRowHeight="13.5" x14ac:dyDescent="0.15"/>
  <cols>
    <col min="1" max="1" width="3.33203125" customWidth="1"/>
    <col min="2" max="2" width="9" customWidth="1"/>
    <col min="3" max="3" width="44.88671875" customWidth="1"/>
    <col min="4" max="4" width="5.88671875" customWidth="1"/>
    <col min="5" max="5" width="7.21875" customWidth="1"/>
    <col min="6" max="14" width="5.77734375" customWidth="1"/>
    <col min="15" max="15" width="5.5546875" customWidth="1"/>
  </cols>
  <sheetData>
    <row r="1" spans="1:17" ht="28.5" customHeight="1" thickBot="1" x14ac:dyDescent="0.2">
      <c r="A1" s="195" t="s">
        <v>110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7"/>
    </row>
    <row r="2" spans="1:17" ht="17.25" customHeight="1" x14ac:dyDescent="0.3">
      <c r="A2" s="1" t="s">
        <v>37</v>
      </c>
      <c r="B2" s="2"/>
      <c r="C2" s="2"/>
      <c r="D2" s="2"/>
      <c r="E2" s="2"/>
      <c r="F2" s="2"/>
      <c r="G2" s="2"/>
      <c r="H2" s="2"/>
      <c r="I2" s="2"/>
      <c r="J2" s="179" t="s">
        <v>38</v>
      </c>
      <c r="K2" s="179"/>
      <c r="L2" s="179"/>
      <c r="M2" s="179"/>
      <c r="N2" s="179"/>
      <c r="O2" s="180"/>
      <c r="P2" s="109" t="s">
        <v>96</v>
      </c>
      <c r="Q2" s="4">
        <v>81</v>
      </c>
    </row>
    <row r="3" spans="1:17" ht="18.75" customHeight="1" x14ac:dyDescent="0.15">
      <c r="A3" s="200" t="s">
        <v>6</v>
      </c>
      <c r="B3" s="220" t="s">
        <v>10</v>
      </c>
      <c r="C3" s="226" t="s">
        <v>15</v>
      </c>
      <c r="D3" s="224" t="s">
        <v>13</v>
      </c>
      <c r="E3" s="224" t="s">
        <v>12</v>
      </c>
      <c r="F3" s="224" t="s">
        <v>17</v>
      </c>
      <c r="G3" s="224" t="s">
        <v>18</v>
      </c>
      <c r="H3" s="203" t="s">
        <v>42</v>
      </c>
      <c r="I3" s="203"/>
      <c r="J3" s="198" t="s">
        <v>43</v>
      </c>
      <c r="K3" s="198"/>
      <c r="L3" s="198" t="s">
        <v>44</v>
      </c>
      <c r="M3" s="204"/>
      <c r="N3" s="210" t="s">
        <v>19</v>
      </c>
      <c r="O3" s="210" t="s">
        <v>20</v>
      </c>
      <c r="P3" s="4"/>
      <c r="Q3" s="4">
        <f>N6+N11+N16</f>
        <v>54</v>
      </c>
    </row>
    <row r="4" spans="1:17" ht="18.75" customHeight="1" thickBot="1" x14ac:dyDescent="0.2">
      <c r="A4" s="201"/>
      <c r="B4" s="221"/>
      <c r="C4" s="227"/>
      <c r="D4" s="224"/>
      <c r="E4" s="224"/>
      <c r="F4" s="224"/>
      <c r="G4" s="224"/>
      <c r="H4" s="203" t="s">
        <v>0</v>
      </c>
      <c r="I4" s="203" t="s">
        <v>2</v>
      </c>
      <c r="J4" s="198" t="s">
        <v>0</v>
      </c>
      <c r="K4" s="198" t="s">
        <v>2</v>
      </c>
      <c r="L4" s="198" t="s">
        <v>0</v>
      </c>
      <c r="M4" s="204" t="s">
        <v>2</v>
      </c>
      <c r="N4" s="211"/>
      <c r="O4" s="211"/>
      <c r="P4" s="4"/>
      <c r="Q4" s="4">
        <f>Q2-Q3</f>
        <v>27</v>
      </c>
    </row>
    <row r="5" spans="1:17" ht="7.5" hidden="1" customHeight="1" thickBot="1" x14ac:dyDescent="0.2">
      <c r="A5" s="202"/>
      <c r="B5" s="222"/>
      <c r="C5" s="228"/>
      <c r="D5" s="225"/>
      <c r="E5" s="225"/>
      <c r="F5" s="225"/>
      <c r="G5" s="225"/>
      <c r="H5" s="205"/>
      <c r="I5" s="205"/>
      <c r="J5" s="199"/>
      <c r="K5" s="199"/>
      <c r="L5" s="199"/>
      <c r="M5" s="219"/>
      <c r="N5" s="212"/>
      <c r="O5" s="212"/>
    </row>
    <row r="6" spans="1:17" s="4" customFormat="1" ht="17.25" customHeight="1" x14ac:dyDescent="0.15">
      <c r="A6" s="206" t="s">
        <v>9</v>
      </c>
      <c r="B6" s="223" t="s">
        <v>8</v>
      </c>
      <c r="C6" s="73" t="s">
        <v>45</v>
      </c>
      <c r="D6" s="14" t="s">
        <v>16</v>
      </c>
      <c r="E6" s="43" t="s">
        <v>26</v>
      </c>
      <c r="F6" s="14">
        <v>4</v>
      </c>
      <c r="G6" s="14">
        <v>4</v>
      </c>
      <c r="H6" s="15">
        <v>4</v>
      </c>
      <c r="I6" s="15"/>
      <c r="J6" s="16"/>
      <c r="K6" s="14"/>
      <c r="L6" s="14"/>
      <c r="M6" s="59"/>
      <c r="N6" s="175">
        <f>SUM(H6:M10)</f>
        <v>19</v>
      </c>
      <c r="O6" s="166">
        <v>8</v>
      </c>
    </row>
    <row r="7" spans="1:17" s="4" customFormat="1" ht="17.25" customHeight="1" x14ac:dyDescent="0.15">
      <c r="A7" s="207"/>
      <c r="B7" s="213"/>
      <c r="C7" s="74" t="s">
        <v>46</v>
      </c>
      <c r="D7" s="18" t="s">
        <v>16</v>
      </c>
      <c r="E7" s="44" t="s">
        <v>26</v>
      </c>
      <c r="F7" s="18">
        <v>4</v>
      </c>
      <c r="G7" s="18">
        <v>3</v>
      </c>
      <c r="H7" s="19"/>
      <c r="I7" s="19">
        <v>3</v>
      </c>
      <c r="J7" s="20"/>
      <c r="K7" s="18"/>
      <c r="L7" s="18"/>
      <c r="M7" s="53"/>
      <c r="N7" s="170"/>
      <c r="O7" s="167"/>
    </row>
    <row r="8" spans="1:17" s="4" customFormat="1" ht="17.25" customHeight="1" x14ac:dyDescent="0.15">
      <c r="A8" s="208"/>
      <c r="B8" s="213"/>
      <c r="C8" s="6" t="s">
        <v>25</v>
      </c>
      <c r="D8" s="21" t="s">
        <v>16</v>
      </c>
      <c r="E8" s="21" t="s">
        <v>27</v>
      </c>
      <c r="F8" s="21">
        <v>4</v>
      </c>
      <c r="G8" s="21">
        <v>4</v>
      </c>
      <c r="H8" s="22"/>
      <c r="I8" s="22"/>
      <c r="J8" s="21">
        <v>4</v>
      </c>
      <c r="K8" s="21"/>
      <c r="L8" s="21"/>
      <c r="M8" s="52"/>
      <c r="N8" s="171"/>
      <c r="O8" s="168"/>
    </row>
    <row r="9" spans="1:17" s="4" customFormat="1" ht="17.25" customHeight="1" x14ac:dyDescent="0.15">
      <c r="A9" s="208"/>
      <c r="B9" s="213"/>
      <c r="C9" s="6" t="s">
        <v>81</v>
      </c>
      <c r="D9" s="21" t="s">
        <v>16</v>
      </c>
      <c r="E9" s="21" t="s">
        <v>27</v>
      </c>
      <c r="F9" s="21">
        <v>4</v>
      </c>
      <c r="G9" s="21">
        <v>4</v>
      </c>
      <c r="H9" s="22"/>
      <c r="I9" s="22"/>
      <c r="J9" s="21"/>
      <c r="K9" s="21">
        <v>4</v>
      </c>
      <c r="L9" s="21"/>
      <c r="M9" s="52"/>
      <c r="N9" s="171"/>
      <c r="O9" s="168"/>
    </row>
    <row r="10" spans="1:17" s="4" customFormat="1" ht="17.25" customHeight="1" x14ac:dyDescent="0.15">
      <c r="A10" s="208"/>
      <c r="B10" s="213"/>
      <c r="C10" s="6" t="s">
        <v>52</v>
      </c>
      <c r="D10" s="21" t="s">
        <v>16</v>
      </c>
      <c r="E10" s="21" t="s">
        <v>27</v>
      </c>
      <c r="F10" s="21">
        <v>4</v>
      </c>
      <c r="G10" s="21">
        <v>4</v>
      </c>
      <c r="H10" s="22"/>
      <c r="I10" s="22"/>
      <c r="J10" s="21"/>
      <c r="K10" s="21">
        <v>4</v>
      </c>
      <c r="L10" s="21"/>
      <c r="M10" s="52"/>
      <c r="N10" s="171"/>
      <c r="O10" s="168"/>
    </row>
    <row r="11" spans="1:17" s="4" customFormat="1" ht="17.25" customHeight="1" x14ac:dyDescent="0.15">
      <c r="A11" s="208"/>
      <c r="B11" s="215" t="s">
        <v>1</v>
      </c>
      <c r="C11" s="75" t="s">
        <v>47</v>
      </c>
      <c r="D11" s="24" t="s">
        <v>16</v>
      </c>
      <c r="E11" s="45" t="s">
        <v>26</v>
      </c>
      <c r="F11" s="24">
        <v>4</v>
      </c>
      <c r="G11" s="24">
        <v>4</v>
      </c>
      <c r="H11" s="25">
        <v>4</v>
      </c>
      <c r="I11" s="25"/>
      <c r="J11" s="24"/>
      <c r="K11" s="24"/>
      <c r="L11" s="24"/>
      <c r="M11" s="54"/>
      <c r="N11" s="169">
        <f>SUM(H11:M15)</f>
        <v>19</v>
      </c>
      <c r="O11" s="173">
        <v>8</v>
      </c>
    </row>
    <row r="12" spans="1:17" s="4" customFormat="1" ht="17.25" customHeight="1" x14ac:dyDescent="0.15">
      <c r="A12" s="208"/>
      <c r="B12" s="213"/>
      <c r="C12" s="74" t="s">
        <v>48</v>
      </c>
      <c r="D12" s="18" t="s">
        <v>16</v>
      </c>
      <c r="E12" s="44" t="s">
        <v>26</v>
      </c>
      <c r="F12" s="18">
        <v>4</v>
      </c>
      <c r="G12" s="18">
        <v>3</v>
      </c>
      <c r="H12" s="19"/>
      <c r="I12" s="19">
        <v>3</v>
      </c>
      <c r="J12" s="26"/>
      <c r="K12" s="18"/>
      <c r="L12" s="18"/>
      <c r="M12" s="53"/>
      <c r="N12" s="170"/>
      <c r="O12" s="167"/>
    </row>
    <row r="13" spans="1:17" s="4" customFormat="1" ht="17.25" customHeight="1" x14ac:dyDescent="0.15">
      <c r="A13" s="208"/>
      <c r="B13" s="213"/>
      <c r="C13" s="6" t="s">
        <v>53</v>
      </c>
      <c r="D13" s="21" t="s">
        <v>16</v>
      </c>
      <c r="E13" s="21" t="s">
        <v>27</v>
      </c>
      <c r="F13" s="21">
        <v>4</v>
      </c>
      <c r="G13" s="21">
        <v>4</v>
      </c>
      <c r="H13" s="22"/>
      <c r="I13" s="22"/>
      <c r="J13" s="27">
        <v>4</v>
      </c>
      <c r="K13" s="21"/>
      <c r="L13" s="21"/>
      <c r="M13" s="52"/>
      <c r="N13" s="171"/>
      <c r="O13" s="168"/>
    </row>
    <row r="14" spans="1:17" s="4" customFormat="1" ht="17.25" customHeight="1" x14ac:dyDescent="0.15">
      <c r="A14" s="208"/>
      <c r="B14" s="213"/>
      <c r="C14" s="6" t="s">
        <v>54</v>
      </c>
      <c r="D14" s="21" t="s">
        <v>16</v>
      </c>
      <c r="E14" s="21" t="s">
        <v>27</v>
      </c>
      <c r="F14" s="21">
        <v>4</v>
      </c>
      <c r="G14" s="21">
        <v>4</v>
      </c>
      <c r="H14" s="22"/>
      <c r="I14" s="22"/>
      <c r="J14" s="21"/>
      <c r="K14" s="21">
        <v>4</v>
      </c>
      <c r="L14" s="21"/>
      <c r="M14" s="52"/>
      <c r="N14" s="171"/>
      <c r="O14" s="168"/>
    </row>
    <row r="15" spans="1:17" s="4" customFormat="1" ht="17.25" customHeight="1" x14ac:dyDescent="0.15">
      <c r="A15" s="208"/>
      <c r="B15" s="214"/>
      <c r="C15" s="70" t="s">
        <v>31</v>
      </c>
      <c r="D15" s="21" t="s">
        <v>16</v>
      </c>
      <c r="E15" s="28" t="s">
        <v>27</v>
      </c>
      <c r="F15" s="28">
        <v>4</v>
      </c>
      <c r="G15" s="28">
        <v>4</v>
      </c>
      <c r="H15" s="29"/>
      <c r="I15" s="29"/>
      <c r="J15" s="28"/>
      <c r="K15" s="28">
        <v>4</v>
      </c>
      <c r="L15" s="28"/>
      <c r="M15" s="51"/>
      <c r="N15" s="172"/>
      <c r="O15" s="174"/>
    </row>
    <row r="16" spans="1:17" s="4" customFormat="1" ht="17.25" customHeight="1" x14ac:dyDescent="0.15">
      <c r="A16" s="208"/>
      <c r="B16" s="213" t="s">
        <v>3</v>
      </c>
      <c r="C16" s="75" t="s">
        <v>49</v>
      </c>
      <c r="D16" s="24" t="s">
        <v>16</v>
      </c>
      <c r="E16" s="45" t="s">
        <v>26</v>
      </c>
      <c r="F16" s="24">
        <v>4</v>
      </c>
      <c r="G16" s="24">
        <v>4</v>
      </c>
      <c r="H16" s="25">
        <v>4</v>
      </c>
      <c r="I16" s="25"/>
      <c r="J16" s="24"/>
      <c r="K16" s="24"/>
      <c r="L16" s="24"/>
      <c r="M16" s="54"/>
      <c r="N16" s="169">
        <f>SUM(H16:M19)</f>
        <v>16</v>
      </c>
      <c r="O16" s="173">
        <v>8</v>
      </c>
    </row>
    <row r="17" spans="1:15" s="4" customFormat="1" ht="17.25" customHeight="1" x14ac:dyDescent="0.15">
      <c r="A17" s="208"/>
      <c r="B17" s="213"/>
      <c r="C17" s="74" t="s">
        <v>50</v>
      </c>
      <c r="D17" s="18" t="s">
        <v>16</v>
      </c>
      <c r="E17" s="44" t="s">
        <v>26</v>
      </c>
      <c r="F17" s="18">
        <v>4</v>
      </c>
      <c r="G17" s="18">
        <v>4</v>
      </c>
      <c r="H17" s="19"/>
      <c r="I17" s="19">
        <v>4</v>
      </c>
      <c r="J17" s="18"/>
      <c r="K17" s="18"/>
      <c r="L17" s="18"/>
      <c r="M17" s="53"/>
      <c r="N17" s="170"/>
      <c r="O17" s="167"/>
    </row>
    <row r="18" spans="1:15" s="4" customFormat="1" ht="17.25" customHeight="1" x14ac:dyDescent="0.15">
      <c r="A18" s="208"/>
      <c r="B18" s="213"/>
      <c r="C18" s="6" t="s">
        <v>29</v>
      </c>
      <c r="D18" s="21" t="s">
        <v>16</v>
      </c>
      <c r="E18" s="21" t="s">
        <v>27</v>
      </c>
      <c r="F18" s="21">
        <v>4</v>
      </c>
      <c r="G18" s="21">
        <v>4</v>
      </c>
      <c r="H18" s="22"/>
      <c r="I18" s="22"/>
      <c r="J18" s="21">
        <v>4</v>
      </c>
      <c r="K18" s="21"/>
      <c r="L18" s="21"/>
      <c r="M18" s="52"/>
      <c r="N18" s="171"/>
      <c r="O18" s="168"/>
    </row>
    <row r="19" spans="1:15" s="4" customFormat="1" ht="17.25" customHeight="1" x14ac:dyDescent="0.15">
      <c r="A19" s="208"/>
      <c r="B19" s="213"/>
      <c r="C19" s="6" t="s">
        <v>30</v>
      </c>
      <c r="D19" s="62" t="s">
        <v>16</v>
      </c>
      <c r="E19" s="21" t="s">
        <v>27</v>
      </c>
      <c r="F19" s="21">
        <v>4</v>
      </c>
      <c r="G19" s="21">
        <v>4</v>
      </c>
      <c r="H19" s="22"/>
      <c r="I19" s="22"/>
      <c r="J19" s="21"/>
      <c r="K19" s="21">
        <v>4</v>
      </c>
      <c r="L19" s="21"/>
      <c r="M19" s="52"/>
      <c r="N19" s="171"/>
      <c r="O19" s="168"/>
    </row>
    <row r="20" spans="1:15" s="4" customFormat="1" ht="17.25" customHeight="1" x14ac:dyDescent="0.15">
      <c r="A20" s="208"/>
      <c r="B20" s="215" t="s">
        <v>71</v>
      </c>
      <c r="C20" s="77" t="s">
        <v>51</v>
      </c>
      <c r="D20" s="24" t="s">
        <v>16</v>
      </c>
      <c r="E20" s="102" t="s">
        <v>26</v>
      </c>
      <c r="F20" s="24">
        <v>3</v>
      </c>
      <c r="G20" s="24">
        <v>3</v>
      </c>
      <c r="H20" s="25">
        <v>3</v>
      </c>
      <c r="I20" s="25"/>
      <c r="J20" s="24"/>
      <c r="K20" s="32"/>
      <c r="L20" s="24"/>
      <c r="M20" s="54"/>
      <c r="N20" s="57">
        <f>SUM(H20:M20)</f>
        <v>3</v>
      </c>
      <c r="O20" s="176">
        <v>6</v>
      </c>
    </row>
    <row r="21" spans="1:15" s="4" customFormat="1" ht="17.25" customHeight="1" x14ac:dyDescent="0.15">
      <c r="A21" s="208"/>
      <c r="B21" s="213"/>
      <c r="C21" s="70" t="s">
        <v>55</v>
      </c>
      <c r="D21" s="21" t="s">
        <v>16</v>
      </c>
      <c r="E21" s="103" t="s">
        <v>26</v>
      </c>
      <c r="F21" s="21">
        <v>3</v>
      </c>
      <c r="G21" s="21">
        <v>3</v>
      </c>
      <c r="H21" s="22"/>
      <c r="I21" s="22">
        <v>3</v>
      </c>
      <c r="J21" s="21"/>
      <c r="K21" s="99"/>
      <c r="L21" s="21"/>
      <c r="M21" s="52"/>
      <c r="N21" s="107">
        <f>SUM(H21:M21)</f>
        <v>3</v>
      </c>
      <c r="O21" s="178"/>
    </row>
    <row r="22" spans="1:15" s="4" customFormat="1" ht="17.25" customHeight="1" x14ac:dyDescent="0.15">
      <c r="A22" s="208"/>
      <c r="B22" s="213"/>
      <c r="C22" s="6" t="s">
        <v>56</v>
      </c>
      <c r="D22" s="21" t="s">
        <v>16</v>
      </c>
      <c r="E22" s="103" t="s">
        <v>26</v>
      </c>
      <c r="F22" s="21">
        <v>4</v>
      </c>
      <c r="G22" s="21">
        <v>4</v>
      </c>
      <c r="H22" s="22">
        <v>4</v>
      </c>
      <c r="I22" s="22"/>
      <c r="J22" s="21"/>
      <c r="K22" s="21"/>
      <c r="L22" s="99"/>
      <c r="M22" s="105"/>
      <c r="N22" s="58">
        <f>SUM(H22:M22)</f>
        <v>4</v>
      </c>
      <c r="O22" s="176">
        <v>8</v>
      </c>
    </row>
    <row r="23" spans="1:15" s="4" customFormat="1" ht="17.25" customHeight="1" x14ac:dyDescent="0.15">
      <c r="A23" s="208"/>
      <c r="B23" s="214"/>
      <c r="C23" s="71" t="s">
        <v>57</v>
      </c>
      <c r="D23" s="62" t="s">
        <v>16</v>
      </c>
      <c r="E23" s="104" t="s">
        <v>26</v>
      </c>
      <c r="F23" s="34">
        <v>4</v>
      </c>
      <c r="G23" s="34">
        <v>4</v>
      </c>
      <c r="H23" s="35"/>
      <c r="I23" s="35">
        <v>4</v>
      </c>
      <c r="J23" s="34"/>
      <c r="K23" s="34"/>
      <c r="L23" s="100"/>
      <c r="M23" s="101"/>
      <c r="N23" s="58">
        <v>4</v>
      </c>
      <c r="O23" s="178"/>
    </row>
    <row r="24" spans="1:15" s="4" customFormat="1" ht="17.25" customHeight="1" x14ac:dyDescent="0.15">
      <c r="A24" s="208"/>
      <c r="B24" s="213" t="s">
        <v>5</v>
      </c>
      <c r="C24" s="77" t="s">
        <v>58</v>
      </c>
      <c r="D24" s="24" t="s">
        <v>16</v>
      </c>
      <c r="E24" s="45" t="s">
        <v>26</v>
      </c>
      <c r="F24" s="24">
        <v>4</v>
      </c>
      <c r="G24" s="24">
        <v>4</v>
      </c>
      <c r="H24" s="25">
        <v>4</v>
      </c>
      <c r="I24" s="25"/>
      <c r="J24" s="24"/>
      <c r="K24" s="24"/>
      <c r="L24" s="32"/>
      <c r="M24" s="60"/>
      <c r="N24" s="57">
        <f>SUM(H24:M24)</f>
        <v>4</v>
      </c>
      <c r="O24" s="176">
        <v>10</v>
      </c>
    </row>
    <row r="25" spans="1:15" s="4" customFormat="1" ht="17.25" customHeight="1" x14ac:dyDescent="0.15">
      <c r="A25" s="208"/>
      <c r="B25" s="213"/>
      <c r="C25" s="6" t="s">
        <v>59</v>
      </c>
      <c r="D25" s="21" t="s">
        <v>16</v>
      </c>
      <c r="E25" s="46" t="s">
        <v>26</v>
      </c>
      <c r="F25" s="18">
        <v>4</v>
      </c>
      <c r="G25" s="18">
        <v>4</v>
      </c>
      <c r="H25" s="19"/>
      <c r="I25" s="19">
        <v>4</v>
      </c>
      <c r="J25" s="18"/>
      <c r="K25" s="18"/>
      <c r="L25" s="33"/>
      <c r="M25" s="61"/>
      <c r="N25" s="58">
        <v>4</v>
      </c>
      <c r="O25" s="177"/>
    </row>
    <row r="26" spans="1:15" s="4" customFormat="1" ht="17.25" customHeight="1" x14ac:dyDescent="0.15">
      <c r="A26" s="208"/>
      <c r="B26" s="213"/>
      <c r="C26" s="74" t="s">
        <v>60</v>
      </c>
      <c r="D26" s="21" t="s">
        <v>16</v>
      </c>
      <c r="E26" s="46" t="s">
        <v>26</v>
      </c>
      <c r="F26" s="18">
        <v>1</v>
      </c>
      <c r="G26" s="18">
        <v>1</v>
      </c>
      <c r="H26" s="19"/>
      <c r="I26" s="19">
        <v>1</v>
      </c>
      <c r="J26" s="18"/>
      <c r="K26" s="18"/>
      <c r="L26" s="33"/>
      <c r="M26" s="61"/>
      <c r="N26" s="58">
        <v>1</v>
      </c>
      <c r="O26" s="177"/>
    </row>
    <row r="27" spans="1:15" s="4" customFormat="1" ht="17.25" customHeight="1" x14ac:dyDescent="0.15">
      <c r="A27" s="208"/>
      <c r="B27" s="214"/>
      <c r="C27" s="78" t="s">
        <v>61</v>
      </c>
      <c r="D27" s="18" t="s">
        <v>16</v>
      </c>
      <c r="E27" s="44" t="s">
        <v>26</v>
      </c>
      <c r="F27" s="21">
        <v>1</v>
      </c>
      <c r="G27" s="21">
        <v>1</v>
      </c>
      <c r="H27" s="22"/>
      <c r="I27" s="22">
        <v>1</v>
      </c>
      <c r="J27" s="21"/>
      <c r="K27" s="21"/>
      <c r="L27" s="21"/>
      <c r="M27" s="52"/>
      <c r="N27" s="58">
        <f>SUM(H27:M27)</f>
        <v>1</v>
      </c>
      <c r="O27" s="177"/>
    </row>
    <row r="28" spans="1:15" s="4" customFormat="1" ht="17.25" customHeight="1" x14ac:dyDescent="0.15">
      <c r="A28" s="208"/>
      <c r="B28" s="215" t="s">
        <v>4</v>
      </c>
      <c r="C28" s="8" t="s">
        <v>63</v>
      </c>
      <c r="D28" s="30" t="s">
        <v>16</v>
      </c>
      <c r="E28" s="30" t="s">
        <v>27</v>
      </c>
      <c r="F28" s="30">
        <v>3</v>
      </c>
      <c r="G28" s="30">
        <v>2</v>
      </c>
      <c r="H28" s="31">
        <v>2</v>
      </c>
      <c r="I28" s="31"/>
      <c r="J28" s="30"/>
      <c r="K28" s="30"/>
      <c r="L28" s="30"/>
      <c r="M28" s="23"/>
      <c r="N28" s="169">
        <f>SUM(H28:M33)</f>
        <v>10</v>
      </c>
      <c r="O28" s="173">
        <v>10</v>
      </c>
    </row>
    <row r="29" spans="1:15" s="4" customFormat="1" ht="17.25" customHeight="1" x14ac:dyDescent="0.15">
      <c r="A29" s="208"/>
      <c r="B29" s="213"/>
      <c r="C29" s="5" t="s">
        <v>64</v>
      </c>
      <c r="D29" s="21" t="s">
        <v>16</v>
      </c>
      <c r="E29" s="21" t="s">
        <v>27</v>
      </c>
      <c r="F29" s="21">
        <v>3</v>
      </c>
      <c r="G29" s="21">
        <v>2</v>
      </c>
      <c r="H29" s="22"/>
      <c r="I29" s="22">
        <v>2</v>
      </c>
      <c r="J29" s="21"/>
      <c r="K29" s="21"/>
      <c r="L29" s="21"/>
      <c r="M29" s="52"/>
      <c r="N29" s="148"/>
      <c r="O29" s="177"/>
    </row>
    <row r="30" spans="1:15" s="4" customFormat="1" ht="17.25" customHeight="1" x14ac:dyDescent="0.15">
      <c r="A30" s="208"/>
      <c r="B30" s="213"/>
      <c r="C30" s="5" t="s">
        <v>65</v>
      </c>
      <c r="D30" s="21" t="s">
        <v>16</v>
      </c>
      <c r="E30" s="21" t="s">
        <v>28</v>
      </c>
      <c r="F30" s="21">
        <v>2</v>
      </c>
      <c r="G30" s="21">
        <v>1</v>
      </c>
      <c r="H30" s="22"/>
      <c r="I30" s="22"/>
      <c r="J30" s="21">
        <v>1</v>
      </c>
      <c r="K30" s="21"/>
      <c r="L30" s="21"/>
      <c r="M30" s="52"/>
      <c r="N30" s="148"/>
      <c r="O30" s="177"/>
    </row>
    <row r="31" spans="1:15" s="4" customFormat="1" ht="17.25" customHeight="1" x14ac:dyDescent="0.15">
      <c r="A31" s="208"/>
      <c r="B31" s="213"/>
      <c r="C31" s="5" t="s">
        <v>67</v>
      </c>
      <c r="D31" s="21" t="s">
        <v>16</v>
      </c>
      <c r="E31" s="21" t="s">
        <v>28</v>
      </c>
      <c r="F31" s="21">
        <v>2</v>
      </c>
      <c r="G31" s="21">
        <v>1</v>
      </c>
      <c r="H31" s="22"/>
      <c r="I31" s="22"/>
      <c r="J31" s="21"/>
      <c r="K31" s="21">
        <v>1</v>
      </c>
      <c r="L31" s="21"/>
      <c r="M31" s="52"/>
      <c r="N31" s="148"/>
      <c r="O31" s="177"/>
    </row>
    <row r="32" spans="1:15" s="4" customFormat="1" ht="17.25" customHeight="1" x14ac:dyDescent="0.15">
      <c r="A32" s="208"/>
      <c r="B32" s="213"/>
      <c r="C32" s="5" t="s">
        <v>32</v>
      </c>
      <c r="D32" s="21" t="s">
        <v>16</v>
      </c>
      <c r="E32" s="21" t="s">
        <v>28</v>
      </c>
      <c r="F32" s="21">
        <v>3</v>
      </c>
      <c r="G32" s="21">
        <v>2</v>
      </c>
      <c r="H32" s="22"/>
      <c r="I32" s="22"/>
      <c r="J32" s="21"/>
      <c r="K32" s="21"/>
      <c r="L32" s="21">
        <v>2</v>
      </c>
      <c r="M32" s="52"/>
      <c r="N32" s="148"/>
      <c r="O32" s="177"/>
    </row>
    <row r="33" spans="1:15" s="4" customFormat="1" ht="17.25" customHeight="1" x14ac:dyDescent="0.15">
      <c r="A33" s="208"/>
      <c r="B33" s="214"/>
      <c r="C33" s="9" t="s">
        <v>66</v>
      </c>
      <c r="D33" s="34" t="s">
        <v>16</v>
      </c>
      <c r="E33" s="34" t="s">
        <v>69</v>
      </c>
      <c r="F33" s="34">
        <v>3</v>
      </c>
      <c r="G33" s="34">
        <v>2</v>
      </c>
      <c r="H33" s="35"/>
      <c r="I33" s="35"/>
      <c r="J33" s="34"/>
      <c r="K33" s="34"/>
      <c r="L33" s="34"/>
      <c r="M33" s="17">
        <v>2</v>
      </c>
      <c r="N33" s="148"/>
      <c r="O33" s="177"/>
    </row>
    <row r="34" spans="1:15" s="4" customFormat="1" ht="17.25" customHeight="1" x14ac:dyDescent="0.15">
      <c r="A34" s="208"/>
      <c r="B34" s="215" t="s">
        <v>7</v>
      </c>
      <c r="C34" s="79" t="s">
        <v>33</v>
      </c>
      <c r="D34" s="30" t="s">
        <v>16</v>
      </c>
      <c r="E34" s="37" t="s">
        <v>27</v>
      </c>
      <c r="F34" s="24">
        <v>3</v>
      </c>
      <c r="G34" s="24">
        <v>2</v>
      </c>
      <c r="H34" s="25">
        <v>2</v>
      </c>
      <c r="I34" s="25"/>
      <c r="J34" s="24"/>
      <c r="K34" s="24"/>
      <c r="L34" s="24"/>
      <c r="M34" s="54"/>
      <c r="N34" s="169">
        <f>SUM(H34:M35)</f>
        <v>4</v>
      </c>
      <c r="O34" s="173">
        <v>10</v>
      </c>
    </row>
    <row r="35" spans="1:15" s="4" customFormat="1" ht="15.75" customHeight="1" x14ac:dyDescent="0.15">
      <c r="A35" s="208"/>
      <c r="B35" s="213"/>
      <c r="C35" s="76" t="s">
        <v>62</v>
      </c>
      <c r="D35" s="28" t="s">
        <v>16</v>
      </c>
      <c r="E35" s="47" t="s">
        <v>27</v>
      </c>
      <c r="F35" s="28">
        <v>3</v>
      </c>
      <c r="G35" s="28">
        <v>2</v>
      </c>
      <c r="H35" s="29"/>
      <c r="I35" s="29">
        <v>2</v>
      </c>
      <c r="J35" s="28"/>
      <c r="K35" s="28"/>
      <c r="L35" s="28"/>
      <c r="M35" s="51"/>
      <c r="N35" s="148"/>
      <c r="O35" s="177"/>
    </row>
    <row r="36" spans="1:15" s="4" customFormat="1" ht="21.75" customHeight="1" x14ac:dyDescent="0.15">
      <c r="A36" s="208"/>
      <c r="B36" s="215" t="s">
        <v>78</v>
      </c>
      <c r="C36" s="7" t="s">
        <v>39</v>
      </c>
      <c r="D36" s="24" t="s">
        <v>16</v>
      </c>
      <c r="E36" s="24" t="s">
        <v>27</v>
      </c>
      <c r="F36" s="24">
        <v>4</v>
      </c>
      <c r="G36" s="24">
        <v>3</v>
      </c>
      <c r="H36" s="25">
        <v>3</v>
      </c>
      <c r="I36" s="25"/>
      <c r="J36" s="24"/>
      <c r="K36" s="24"/>
      <c r="L36" s="24"/>
      <c r="M36" s="54"/>
      <c r="N36" s="169">
        <f>SUM(H36:M38)</f>
        <v>9</v>
      </c>
      <c r="O36" s="173">
        <v>16</v>
      </c>
    </row>
    <row r="37" spans="1:15" s="4" customFormat="1" ht="18.75" customHeight="1" x14ac:dyDescent="0.15">
      <c r="A37" s="208"/>
      <c r="B37" s="213"/>
      <c r="C37" s="80" t="s">
        <v>72</v>
      </c>
      <c r="D37" s="38" t="s">
        <v>16</v>
      </c>
      <c r="E37" s="38" t="s">
        <v>28</v>
      </c>
      <c r="F37" s="34">
        <v>4</v>
      </c>
      <c r="G37" s="34">
        <v>3</v>
      </c>
      <c r="H37" s="35"/>
      <c r="I37" s="35">
        <v>3</v>
      </c>
      <c r="J37" s="34"/>
      <c r="K37" s="34"/>
      <c r="L37" s="34"/>
      <c r="M37" s="17"/>
      <c r="N37" s="170"/>
      <c r="O37" s="167"/>
    </row>
    <row r="38" spans="1:15" s="4" customFormat="1" ht="23.25" customHeight="1" x14ac:dyDescent="0.15">
      <c r="A38" s="208"/>
      <c r="B38" s="23" t="s">
        <v>70</v>
      </c>
      <c r="C38" s="12" t="s">
        <v>68</v>
      </c>
      <c r="D38" s="37" t="s">
        <v>16</v>
      </c>
      <c r="E38" s="37" t="s">
        <v>27</v>
      </c>
      <c r="F38" s="30">
        <v>4</v>
      </c>
      <c r="G38" s="30">
        <v>3</v>
      </c>
      <c r="H38" s="31"/>
      <c r="I38" s="31"/>
      <c r="J38" s="30">
        <v>3</v>
      </c>
      <c r="K38" s="30"/>
      <c r="L38" s="30"/>
      <c r="M38" s="23"/>
      <c r="N38" s="170"/>
      <c r="O38" s="167"/>
    </row>
    <row r="39" spans="1:15" s="4" customFormat="1" ht="21" customHeight="1" thickBot="1" x14ac:dyDescent="0.2">
      <c r="A39" s="209"/>
      <c r="B39" s="216" t="s">
        <v>24</v>
      </c>
      <c r="C39" s="217"/>
      <c r="D39" s="217"/>
      <c r="E39" s="217"/>
      <c r="F39" s="218"/>
      <c r="G39" s="81">
        <f>SUM(G6:G38)</f>
        <v>101</v>
      </c>
      <c r="H39" s="82">
        <f t="shared" ref="H39:O39" si="0">SUM(H6:H38)</f>
        <v>30</v>
      </c>
      <c r="I39" s="82">
        <f t="shared" si="0"/>
        <v>30</v>
      </c>
      <c r="J39" s="81">
        <f t="shared" si="0"/>
        <v>16</v>
      </c>
      <c r="K39" s="81">
        <f t="shared" si="0"/>
        <v>21</v>
      </c>
      <c r="L39" s="81">
        <f t="shared" si="0"/>
        <v>2</v>
      </c>
      <c r="M39" s="83">
        <f t="shared" si="0"/>
        <v>2</v>
      </c>
      <c r="N39" s="69">
        <f t="shared" si="0"/>
        <v>101</v>
      </c>
      <c r="O39" s="106">
        <f t="shared" si="0"/>
        <v>84</v>
      </c>
    </row>
    <row r="40" spans="1:15" s="4" customFormat="1" ht="21" customHeight="1" x14ac:dyDescent="0.15">
      <c r="A40" s="159" t="s">
        <v>84</v>
      </c>
      <c r="B40" s="162" t="s">
        <v>82</v>
      </c>
      <c r="C40" s="163" t="s">
        <v>90</v>
      </c>
      <c r="D40" s="162" t="s">
        <v>77</v>
      </c>
      <c r="E40" s="162" t="s">
        <v>27</v>
      </c>
      <c r="F40" s="95">
        <v>4</v>
      </c>
      <c r="G40" s="39">
        <v>4</v>
      </c>
      <c r="H40" s="63"/>
      <c r="I40" s="63"/>
      <c r="J40" s="162">
        <v>12</v>
      </c>
      <c r="K40" s="14"/>
      <c r="L40" s="14"/>
      <c r="M40" s="96"/>
      <c r="N40" s="147">
        <v>12</v>
      </c>
      <c r="O40" s="149"/>
    </row>
    <row r="41" spans="1:15" s="4" customFormat="1" ht="21" customHeight="1" x14ac:dyDescent="0.15">
      <c r="A41" s="160"/>
      <c r="B41" s="154"/>
      <c r="C41" s="157"/>
      <c r="D41" s="154"/>
      <c r="E41" s="154"/>
      <c r="F41" s="21">
        <v>4</v>
      </c>
      <c r="G41" s="21">
        <v>4</v>
      </c>
      <c r="H41" s="22"/>
      <c r="I41" s="22"/>
      <c r="J41" s="154"/>
      <c r="K41" s="21"/>
      <c r="L41" s="21"/>
      <c r="M41" s="64"/>
      <c r="N41" s="148"/>
      <c r="O41" s="150"/>
    </row>
    <row r="42" spans="1:15" s="4" customFormat="1" ht="15.75" customHeight="1" x14ac:dyDescent="0.15">
      <c r="A42" s="160"/>
      <c r="B42" s="154"/>
      <c r="C42" s="158"/>
      <c r="D42" s="155"/>
      <c r="E42" s="155"/>
      <c r="F42" s="97">
        <v>4</v>
      </c>
      <c r="G42" s="34">
        <v>4</v>
      </c>
      <c r="H42" s="35"/>
      <c r="I42" s="35"/>
      <c r="J42" s="155"/>
      <c r="K42" s="34"/>
      <c r="L42" s="34"/>
      <c r="M42" s="17"/>
      <c r="N42" s="146"/>
      <c r="O42" s="150"/>
    </row>
    <row r="43" spans="1:15" s="4" customFormat="1" ht="24" customHeight="1" x14ac:dyDescent="0.15">
      <c r="A43" s="160"/>
      <c r="B43" s="154"/>
      <c r="C43" s="156" t="s">
        <v>94</v>
      </c>
      <c r="D43" s="153" t="s">
        <v>77</v>
      </c>
      <c r="E43" s="153" t="s">
        <v>79</v>
      </c>
      <c r="F43" s="24">
        <v>4</v>
      </c>
      <c r="G43" s="24">
        <v>3</v>
      </c>
      <c r="H43" s="25"/>
      <c r="I43" s="25"/>
      <c r="J43" s="24"/>
      <c r="K43" s="153">
        <v>9</v>
      </c>
      <c r="L43" s="24"/>
      <c r="M43" s="98"/>
      <c r="N43" s="145">
        <v>9</v>
      </c>
      <c r="O43" s="150"/>
    </row>
    <row r="44" spans="1:15" s="4" customFormat="1" ht="26.25" customHeight="1" x14ac:dyDescent="0.15">
      <c r="A44" s="160"/>
      <c r="B44" s="154"/>
      <c r="C44" s="157"/>
      <c r="D44" s="154"/>
      <c r="E44" s="154"/>
      <c r="F44" s="18">
        <v>4</v>
      </c>
      <c r="G44" s="18">
        <v>3</v>
      </c>
      <c r="H44" s="19"/>
      <c r="I44" s="19"/>
      <c r="J44" s="18"/>
      <c r="K44" s="154"/>
      <c r="L44" s="21"/>
      <c r="M44" s="64"/>
      <c r="N44" s="148"/>
      <c r="O44" s="150"/>
    </row>
    <row r="45" spans="1:15" s="4" customFormat="1" ht="27.75" customHeight="1" x14ac:dyDescent="0.15">
      <c r="A45" s="160"/>
      <c r="B45" s="155"/>
      <c r="C45" s="158"/>
      <c r="D45" s="155"/>
      <c r="E45" s="155"/>
      <c r="F45" s="97">
        <v>4</v>
      </c>
      <c r="G45" s="34">
        <v>3</v>
      </c>
      <c r="H45" s="35"/>
      <c r="I45" s="35"/>
      <c r="J45" s="34"/>
      <c r="K45" s="155"/>
      <c r="L45" s="34"/>
      <c r="M45" s="17"/>
      <c r="N45" s="146"/>
      <c r="O45" s="151"/>
    </row>
    <row r="46" spans="1:15" s="4" customFormat="1" ht="16.5" customHeight="1" x14ac:dyDescent="0.15">
      <c r="A46" s="160"/>
      <c r="B46" s="154" t="s">
        <v>85</v>
      </c>
      <c r="C46" s="157" t="s">
        <v>111</v>
      </c>
      <c r="D46" s="156" t="s">
        <v>83</v>
      </c>
      <c r="E46" s="156" t="s">
        <v>89</v>
      </c>
      <c r="F46" s="37">
        <v>4</v>
      </c>
      <c r="G46" s="30">
        <v>3</v>
      </c>
      <c r="H46" s="31"/>
      <c r="I46" s="31"/>
      <c r="J46" s="30"/>
      <c r="K46" s="30"/>
      <c r="L46" s="153">
        <v>21</v>
      </c>
      <c r="M46" s="23"/>
      <c r="N46" s="145">
        <f t="shared" ref="N46:N53" si="1">SUM(H46:M46)</f>
        <v>21</v>
      </c>
      <c r="O46" s="152" t="s">
        <v>86</v>
      </c>
    </row>
    <row r="47" spans="1:15" s="4" customFormat="1" ht="21" customHeight="1" x14ac:dyDescent="0.15">
      <c r="A47" s="160"/>
      <c r="B47" s="154"/>
      <c r="C47" s="157"/>
      <c r="D47" s="157"/>
      <c r="E47" s="157"/>
      <c r="F47" s="72">
        <v>4</v>
      </c>
      <c r="G47" s="21">
        <v>3</v>
      </c>
      <c r="H47" s="22"/>
      <c r="I47" s="22"/>
      <c r="J47" s="21"/>
      <c r="K47" s="21"/>
      <c r="L47" s="154"/>
      <c r="M47" s="52"/>
      <c r="N47" s="148"/>
      <c r="O47" s="150"/>
    </row>
    <row r="48" spans="1:15" s="4" customFormat="1" ht="21" customHeight="1" x14ac:dyDescent="0.15">
      <c r="A48" s="160"/>
      <c r="B48" s="154"/>
      <c r="C48" s="157"/>
      <c r="D48" s="157"/>
      <c r="E48" s="157"/>
      <c r="F48" s="72">
        <v>4</v>
      </c>
      <c r="G48" s="21">
        <v>3</v>
      </c>
      <c r="H48" s="22"/>
      <c r="I48" s="22"/>
      <c r="J48" s="21"/>
      <c r="K48" s="21"/>
      <c r="L48" s="154"/>
      <c r="M48" s="64"/>
      <c r="N48" s="148"/>
      <c r="O48" s="150"/>
    </row>
    <row r="49" spans="1:15" s="4" customFormat="1" ht="21" customHeight="1" x14ac:dyDescent="0.15">
      <c r="A49" s="160"/>
      <c r="B49" s="154"/>
      <c r="C49" s="157"/>
      <c r="D49" s="157"/>
      <c r="E49" s="157"/>
      <c r="F49" s="72">
        <v>4</v>
      </c>
      <c r="G49" s="21">
        <v>3</v>
      </c>
      <c r="H49" s="22"/>
      <c r="I49" s="22"/>
      <c r="J49" s="21"/>
      <c r="K49" s="21"/>
      <c r="L49" s="154"/>
      <c r="M49" s="64"/>
      <c r="N49" s="148"/>
      <c r="O49" s="150"/>
    </row>
    <row r="50" spans="1:15" s="4" customFormat="1" ht="21" customHeight="1" x14ac:dyDescent="0.15">
      <c r="A50" s="160"/>
      <c r="B50" s="154"/>
      <c r="C50" s="157"/>
      <c r="D50" s="157"/>
      <c r="E50" s="157"/>
      <c r="F50" s="72">
        <v>4</v>
      </c>
      <c r="G50" s="21">
        <v>3</v>
      </c>
      <c r="H50" s="22"/>
      <c r="I50" s="22"/>
      <c r="J50" s="21"/>
      <c r="K50" s="21"/>
      <c r="L50" s="154"/>
      <c r="M50" s="64"/>
      <c r="N50" s="148"/>
      <c r="O50" s="150"/>
    </row>
    <row r="51" spans="1:15" s="4" customFormat="1" ht="18" customHeight="1" x14ac:dyDescent="0.15">
      <c r="A51" s="160"/>
      <c r="B51" s="154"/>
      <c r="C51" s="157"/>
      <c r="D51" s="157"/>
      <c r="E51" s="157"/>
      <c r="F51" s="72">
        <v>4</v>
      </c>
      <c r="G51" s="21">
        <v>3</v>
      </c>
      <c r="H51" s="22"/>
      <c r="I51" s="22"/>
      <c r="J51" s="21"/>
      <c r="K51" s="21"/>
      <c r="L51" s="154"/>
      <c r="M51" s="64"/>
      <c r="N51" s="148"/>
      <c r="O51" s="150"/>
    </row>
    <row r="52" spans="1:15" s="4" customFormat="1" ht="15.75" customHeight="1" x14ac:dyDescent="0.15">
      <c r="A52" s="160"/>
      <c r="B52" s="154"/>
      <c r="C52" s="158"/>
      <c r="D52" s="158"/>
      <c r="E52" s="158"/>
      <c r="F52" s="38">
        <v>4</v>
      </c>
      <c r="G52" s="34">
        <v>3</v>
      </c>
      <c r="H52" s="35"/>
      <c r="I52" s="35"/>
      <c r="J52" s="34"/>
      <c r="K52" s="34"/>
      <c r="L52" s="155"/>
      <c r="M52" s="17"/>
      <c r="N52" s="146"/>
      <c r="O52" s="151"/>
    </row>
    <row r="53" spans="1:15" s="4" customFormat="1" ht="21" customHeight="1" x14ac:dyDescent="0.15">
      <c r="A53" s="160"/>
      <c r="B53" s="154"/>
      <c r="C53" s="156" t="s">
        <v>91</v>
      </c>
      <c r="D53" s="156" t="s">
        <v>95</v>
      </c>
      <c r="E53" s="156" t="s">
        <v>79</v>
      </c>
      <c r="F53" s="36">
        <v>4</v>
      </c>
      <c r="G53" s="24">
        <v>3</v>
      </c>
      <c r="H53" s="25"/>
      <c r="I53" s="25"/>
      <c r="J53" s="24"/>
      <c r="K53" s="24"/>
      <c r="L53" s="24"/>
      <c r="M53" s="229">
        <v>18</v>
      </c>
      <c r="N53" s="145">
        <f t="shared" si="1"/>
        <v>18</v>
      </c>
      <c r="O53" s="150" t="s">
        <v>93</v>
      </c>
    </row>
    <row r="54" spans="1:15" s="4" customFormat="1" ht="21" customHeight="1" x14ac:dyDescent="0.15">
      <c r="A54" s="160"/>
      <c r="B54" s="154"/>
      <c r="C54" s="157"/>
      <c r="D54" s="157"/>
      <c r="E54" s="157"/>
      <c r="F54" s="72">
        <v>4</v>
      </c>
      <c r="G54" s="21">
        <v>3</v>
      </c>
      <c r="H54" s="22"/>
      <c r="I54" s="22"/>
      <c r="J54" s="21"/>
      <c r="K54" s="21"/>
      <c r="L54" s="21"/>
      <c r="M54" s="230"/>
      <c r="N54" s="148"/>
      <c r="O54" s="150"/>
    </row>
    <row r="55" spans="1:15" s="4" customFormat="1" ht="21" customHeight="1" x14ac:dyDescent="0.15">
      <c r="A55" s="160"/>
      <c r="B55" s="154"/>
      <c r="C55" s="157"/>
      <c r="D55" s="157"/>
      <c r="E55" s="157"/>
      <c r="F55" s="72">
        <v>4</v>
      </c>
      <c r="G55" s="21">
        <v>3</v>
      </c>
      <c r="H55" s="22"/>
      <c r="I55" s="22"/>
      <c r="J55" s="21"/>
      <c r="K55" s="21"/>
      <c r="L55" s="21"/>
      <c r="M55" s="230"/>
      <c r="N55" s="148"/>
      <c r="O55" s="150"/>
    </row>
    <row r="56" spans="1:15" s="4" customFormat="1" ht="21" customHeight="1" x14ac:dyDescent="0.15">
      <c r="A56" s="160"/>
      <c r="B56" s="154"/>
      <c r="C56" s="157"/>
      <c r="D56" s="157"/>
      <c r="E56" s="157"/>
      <c r="F56" s="72">
        <v>4</v>
      </c>
      <c r="G56" s="21">
        <v>3</v>
      </c>
      <c r="H56" s="22"/>
      <c r="I56" s="22"/>
      <c r="J56" s="21"/>
      <c r="K56" s="21"/>
      <c r="L56" s="21"/>
      <c r="M56" s="230"/>
      <c r="N56" s="148"/>
      <c r="O56" s="150"/>
    </row>
    <row r="57" spans="1:15" s="4" customFormat="1" ht="21" customHeight="1" x14ac:dyDescent="0.15">
      <c r="A57" s="160"/>
      <c r="B57" s="154"/>
      <c r="C57" s="157"/>
      <c r="D57" s="157"/>
      <c r="E57" s="157"/>
      <c r="F57" s="38">
        <v>4</v>
      </c>
      <c r="G57" s="34">
        <v>3</v>
      </c>
      <c r="H57" s="35"/>
      <c r="I57" s="35"/>
      <c r="J57" s="34"/>
      <c r="K57" s="34"/>
      <c r="L57" s="34"/>
      <c r="M57" s="230"/>
      <c r="N57" s="148"/>
      <c r="O57" s="150"/>
    </row>
    <row r="58" spans="1:15" s="4" customFormat="1" ht="21" customHeight="1" x14ac:dyDescent="0.15">
      <c r="A58" s="160"/>
      <c r="B58" s="155"/>
      <c r="C58" s="158"/>
      <c r="D58" s="158"/>
      <c r="E58" s="158"/>
      <c r="F58" s="62">
        <v>4</v>
      </c>
      <c r="G58" s="62">
        <v>3</v>
      </c>
      <c r="H58" s="48"/>
      <c r="I58" s="48"/>
      <c r="J58" s="62"/>
      <c r="K58" s="62"/>
      <c r="L58" s="62"/>
      <c r="M58" s="231"/>
      <c r="N58" s="146"/>
      <c r="O58" s="151"/>
    </row>
    <row r="59" spans="1:15" s="4" customFormat="1" ht="21.75" customHeight="1" x14ac:dyDescent="0.15">
      <c r="A59" s="160"/>
      <c r="B59" s="192" t="s">
        <v>41</v>
      </c>
      <c r="C59" s="49" t="s">
        <v>74</v>
      </c>
      <c r="D59" s="49" t="s">
        <v>34</v>
      </c>
      <c r="E59" s="49" t="s">
        <v>88</v>
      </c>
      <c r="F59" s="24">
        <v>3</v>
      </c>
      <c r="G59" s="40">
        <v>2</v>
      </c>
      <c r="H59" s="25"/>
      <c r="I59" s="25"/>
      <c r="J59" s="24">
        <v>2</v>
      </c>
      <c r="K59" s="24"/>
      <c r="L59" s="24"/>
      <c r="M59" s="54"/>
      <c r="N59" s="56">
        <f>SUM(J59:M59)</f>
        <v>2</v>
      </c>
      <c r="O59" s="145">
        <f>SUM(N59:N61)</f>
        <v>6</v>
      </c>
    </row>
    <row r="60" spans="1:15" s="4" customFormat="1" ht="18" customHeight="1" x14ac:dyDescent="0.15">
      <c r="A60" s="160"/>
      <c r="B60" s="193"/>
      <c r="C60" s="50" t="s">
        <v>75</v>
      </c>
      <c r="D60" s="50" t="s">
        <v>34</v>
      </c>
      <c r="E60" s="50" t="s">
        <v>28</v>
      </c>
      <c r="F60" s="18">
        <v>3</v>
      </c>
      <c r="G60" s="41">
        <v>2</v>
      </c>
      <c r="H60" s="19"/>
      <c r="I60" s="19"/>
      <c r="J60" s="18"/>
      <c r="K60" s="18"/>
      <c r="L60" s="18">
        <v>2</v>
      </c>
      <c r="M60" s="53"/>
      <c r="N60" s="55">
        <f>SUM(J60:M60)</f>
        <v>2</v>
      </c>
      <c r="O60" s="148"/>
    </row>
    <row r="61" spans="1:15" s="4" customFormat="1" ht="19.5" customHeight="1" x14ac:dyDescent="0.15">
      <c r="A61" s="160"/>
      <c r="B61" s="194"/>
      <c r="C61" s="50" t="s">
        <v>76</v>
      </c>
      <c r="D61" s="50" t="s">
        <v>36</v>
      </c>
      <c r="E61" s="50" t="s">
        <v>69</v>
      </c>
      <c r="F61" s="18">
        <v>3</v>
      </c>
      <c r="G61" s="41">
        <v>2</v>
      </c>
      <c r="H61" s="19"/>
      <c r="I61" s="19"/>
      <c r="J61" s="18"/>
      <c r="K61" s="18"/>
      <c r="L61" s="18"/>
      <c r="M61" s="53">
        <v>2</v>
      </c>
      <c r="N61" s="55">
        <f>SUM(J61:M61)</f>
        <v>2</v>
      </c>
      <c r="O61" s="146"/>
    </row>
    <row r="62" spans="1:15" s="4" customFormat="1" ht="18" customHeight="1" x14ac:dyDescent="0.15">
      <c r="A62" s="160"/>
      <c r="B62" s="153" t="s">
        <v>14</v>
      </c>
      <c r="C62" s="164" t="s">
        <v>92</v>
      </c>
      <c r="D62" s="164" t="s">
        <v>35</v>
      </c>
      <c r="E62" s="164" t="s">
        <v>87</v>
      </c>
      <c r="F62" s="24">
        <v>3</v>
      </c>
      <c r="G62" s="40">
        <v>2</v>
      </c>
      <c r="H62" s="25"/>
      <c r="I62" s="25"/>
      <c r="J62" s="24"/>
      <c r="K62" s="24"/>
      <c r="L62" s="24">
        <v>2</v>
      </c>
      <c r="M62" s="54"/>
      <c r="N62" s="56">
        <f>SUM(H62:M62)</f>
        <v>2</v>
      </c>
      <c r="O62" s="145">
        <v>4</v>
      </c>
    </row>
    <row r="63" spans="1:15" s="4" customFormat="1" ht="18.75" customHeight="1" x14ac:dyDescent="0.15">
      <c r="A63" s="160"/>
      <c r="B63" s="155"/>
      <c r="C63" s="165"/>
      <c r="D63" s="165"/>
      <c r="E63" s="165"/>
      <c r="F63" s="30">
        <v>3</v>
      </c>
      <c r="G63" s="108">
        <v>2</v>
      </c>
      <c r="H63" s="31"/>
      <c r="I63" s="31"/>
      <c r="J63" s="30"/>
      <c r="K63" s="30"/>
      <c r="L63" s="30"/>
      <c r="M63" s="23">
        <v>2</v>
      </c>
      <c r="N63" s="57">
        <f>SUM(H63:M63)</f>
        <v>2</v>
      </c>
      <c r="O63" s="146"/>
    </row>
    <row r="64" spans="1:15" s="4" customFormat="1" ht="20.25" customHeight="1" thickBot="1" x14ac:dyDescent="0.2">
      <c r="A64" s="161"/>
      <c r="B64" s="89" t="s">
        <v>73</v>
      </c>
      <c r="C64" s="90" t="s">
        <v>80</v>
      </c>
      <c r="D64" s="90" t="s">
        <v>34</v>
      </c>
      <c r="E64" s="90" t="s">
        <v>69</v>
      </c>
      <c r="F64" s="91">
        <v>4</v>
      </c>
      <c r="G64" s="92">
        <v>3</v>
      </c>
      <c r="H64" s="93"/>
      <c r="I64" s="93"/>
      <c r="J64" s="91"/>
      <c r="K64" s="91"/>
      <c r="L64" s="91"/>
      <c r="M64" s="89">
        <v>3</v>
      </c>
      <c r="N64" s="94">
        <f>SUM(J64:M64)</f>
        <v>3</v>
      </c>
      <c r="O64" s="94">
        <f>SUM(N64)</f>
        <v>3</v>
      </c>
    </row>
    <row r="65" spans="1:15" s="3" customFormat="1" ht="18" customHeight="1" x14ac:dyDescent="0.15">
      <c r="A65" s="189" t="s">
        <v>23</v>
      </c>
      <c r="B65" s="190"/>
      <c r="C65" s="190"/>
      <c r="D65" s="190"/>
      <c r="E65" s="190"/>
      <c r="F65" s="191"/>
      <c r="G65" s="84">
        <f>SUM(G40:G64)</f>
        <v>73</v>
      </c>
      <c r="H65" s="85">
        <f t="shared" ref="H65:M65" si="2">SUM(H6:H38,H40:H64)</f>
        <v>30</v>
      </c>
      <c r="I65" s="85">
        <f t="shared" si="2"/>
        <v>30</v>
      </c>
      <c r="J65" s="86">
        <f t="shared" si="2"/>
        <v>30</v>
      </c>
      <c r="K65" s="86">
        <f t="shared" si="2"/>
        <v>30</v>
      </c>
      <c r="L65" s="86">
        <f t="shared" si="2"/>
        <v>27</v>
      </c>
      <c r="M65" s="86">
        <f t="shared" si="2"/>
        <v>27</v>
      </c>
      <c r="N65" s="87">
        <f>SUM(H65:M65)</f>
        <v>174</v>
      </c>
      <c r="O65" s="88"/>
    </row>
    <row r="66" spans="1:15" s="3" customFormat="1" ht="18" customHeight="1" x14ac:dyDescent="0.15">
      <c r="A66" s="184" t="s">
        <v>11</v>
      </c>
      <c r="B66" s="185"/>
      <c r="C66" s="185"/>
      <c r="D66" s="185"/>
      <c r="E66" s="185"/>
      <c r="F66" s="185"/>
      <c r="G66" s="185"/>
      <c r="H66" s="13">
        <v>3</v>
      </c>
      <c r="I66" s="13">
        <v>3</v>
      </c>
      <c r="J66" s="42">
        <v>3</v>
      </c>
      <c r="K66" s="42">
        <v>3</v>
      </c>
      <c r="L66" s="42">
        <v>3</v>
      </c>
      <c r="M66" s="65">
        <v>3</v>
      </c>
      <c r="N66" s="66">
        <f>SUM(H66:M66)</f>
        <v>18</v>
      </c>
      <c r="O66" s="67"/>
    </row>
    <row r="67" spans="1:15" s="3" customFormat="1" ht="18" customHeight="1" x14ac:dyDescent="0.15">
      <c r="A67" s="184" t="s">
        <v>21</v>
      </c>
      <c r="B67" s="185"/>
      <c r="C67" s="185"/>
      <c r="D67" s="185"/>
      <c r="E67" s="185"/>
      <c r="F67" s="185"/>
      <c r="G67" s="185"/>
      <c r="H67" s="13">
        <f>SUM(H65:H66)</f>
        <v>33</v>
      </c>
      <c r="I67" s="13">
        <f t="shared" ref="I67:M67" si="3">SUM(I65:I66)</f>
        <v>33</v>
      </c>
      <c r="J67" s="42">
        <f t="shared" si="3"/>
        <v>33</v>
      </c>
      <c r="K67" s="42">
        <f t="shared" si="3"/>
        <v>33</v>
      </c>
      <c r="L67" s="42">
        <f t="shared" si="3"/>
        <v>30</v>
      </c>
      <c r="M67" s="65">
        <f t="shared" si="3"/>
        <v>30</v>
      </c>
      <c r="N67" s="66">
        <f>SUM(H67:M67)</f>
        <v>192</v>
      </c>
      <c r="O67" s="67"/>
    </row>
    <row r="68" spans="1:15" s="3" customFormat="1" ht="22.5" customHeight="1" thickBot="1" x14ac:dyDescent="0.2">
      <c r="A68" s="186" t="s">
        <v>22</v>
      </c>
      <c r="B68" s="187"/>
      <c r="C68" s="187"/>
      <c r="D68" s="187"/>
      <c r="E68" s="187"/>
      <c r="F68" s="187"/>
      <c r="G68" s="187"/>
      <c r="H68" s="188">
        <f>SUM(H67:I67)</f>
        <v>66</v>
      </c>
      <c r="I68" s="188"/>
      <c r="J68" s="182">
        <f t="shared" ref="J68" si="4">SUM(J67:K67)</f>
        <v>66</v>
      </c>
      <c r="K68" s="182"/>
      <c r="L68" s="182">
        <f t="shared" ref="L68" si="5">SUM(L67:M67)</f>
        <v>60</v>
      </c>
      <c r="M68" s="183"/>
      <c r="N68" s="68">
        <f>SUM(H68:M68)</f>
        <v>192</v>
      </c>
      <c r="O68" s="69"/>
    </row>
    <row r="69" spans="1:15" hidden="1" x14ac:dyDescent="0.15">
      <c r="A69" s="181" t="s">
        <v>40</v>
      </c>
      <c r="B69" s="181"/>
      <c r="C69" s="11"/>
      <c r="D69" s="11"/>
      <c r="E69" s="11"/>
      <c r="F69" s="11"/>
      <c r="G69" s="11"/>
      <c r="H69" s="10">
        <v>10</v>
      </c>
      <c r="I69" s="10">
        <v>10</v>
      </c>
      <c r="J69" s="10">
        <v>9</v>
      </c>
      <c r="K69" s="10">
        <v>9</v>
      </c>
      <c r="L69" s="10">
        <v>8</v>
      </c>
      <c r="M69" s="10">
        <v>8</v>
      </c>
      <c r="N69" s="11"/>
      <c r="O69" s="11"/>
    </row>
    <row r="70" spans="1:15" x14ac:dyDescent="0.15">
      <c r="C70" s="110"/>
    </row>
  </sheetData>
  <mergeCells count="86">
    <mergeCell ref="L46:L52"/>
    <mergeCell ref="N46:N52"/>
    <mergeCell ref="N53:N58"/>
    <mergeCell ref="E53:E58"/>
    <mergeCell ref="M53:M58"/>
    <mergeCell ref="M4:M5"/>
    <mergeCell ref="B3:B5"/>
    <mergeCell ref="B6:B10"/>
    <mergeCell ref="B11:B15"/>
    <mergeCell ref="B16:B19"/>
    <mergeCell ref="G3:G5"/>
    <mergeCell ref="C3:C5"/>
    <mergeCell ref="D3:D5"/>
    <mergeCell ref="E3:E5"/>
    <mergeCell ref="F3:F5"/>
    <mergeCell ref="B34:B35"/>
    <mergeCell ref="B36:B37"/>
    <mergeCell ref="B39:F39"/>
    <mergeCell ref="L4:L5"/>
    <mergeCell ref="B20:B23"/>
    <mergeCell ref="A1:O1"/>
    <mergeCell ref="N28:N33"/>
    <mergeCell ref="O28:O33"/>
    <mergeCell ref="J4:J5"/>
    <mergeCell ref="K4:K5"/>
    <mergeCell ref="A3:A5"/>
    <mergeCell ref="H3:I3"/>
    <mergeCell ref="J3:K3"/>
    <mergeCell ref="L3:M3"/>
    <mergeCell ref="H4:H5"/>
    <mergeCell ref="I4:I5"/>
    <mergeCell ref="A6:A39"/>
    <mergeCell ref="N3:N5"/>
    <mergeCell ref="O3:O5"/>
    <mergeCell ref="B24:B27"/>
    <mergeCell ref="B28:B33"/>
    <mergeCell ref="J2:O2"/>
    <mergeCell ref="A69:B69"/>
    <mergeCell ref="J68:K68"/>
    <mergeCell ref="L68:M68"/>
    <mergeCell ref="A66:G66"/>
    <mergeCell ref="A67:G67"/>
    <mergeCell ref="A68:G68"/>
    <mergeCell ref="H68:I68"/>
    <mergeCell ref="A65:F65"/>
    <mergeCell ref="B59:B61"/>
    <mergeCell ref="D53:D58"/>
    <mergeCell ref="B46:B58"/>
    <mergeCell ref="C46:C52"/>
    <mergeCell ref="D46:D52"/>
    <mergeCell ref="O59:O61"/>
    <mergeCell ref="N36:N38"/>
    <mergeCell ref="O36:O38"/>
    <mergeCell ref="O24:O27"/>
    <mergeCell ref="N34:N35"/>
    <mergeCell ref="O34:O35"/>
    <mergeCell ref="O20:O21"/>
    <mergeCell ref="O22:O23"/>
    <mergeCell ref="O6:O10"/>
    <mergeCell ref="N11:N15"/>
    <mergeCell ref="O11:O15"/>
    <mergeCell ref="N16:N19"/>
    <mergeCell ref="O16:O19"/>
    <mergeCell ref="N6:N10"/>
    <mergeCell ref="K43:K45"/>
    <mergeCell ref="C53:C58"/>
    <mergeCell ref="A40:A64"/>
    <mergeCell ref="E40:E42"/>
    <mergeCell ref="J40:J42"/>
    <mergeCell ref="B40:B45"/>
    <mergeCell ref="C43:C45"/>
    <mergeCell ref="D43:D45"/>
    <mergeCell ref="E43:E45"/>
    <mergeCell ref="C40:C42"/>
    <mergeCell ref="D40:D42"/>
    <mergeCell ref="E46:E52"/>
    <mergeCell ref="B62:B63"/>
    <mergeCell ref="C62:C63"/>
    <mergeCell ref="D62:D63"/>
    <mergeCell ref="E62:E63"/>
    <mergeCell ref="O62:O63"/>
    <mergeCell ref="N40:N42"/>
    <mergeCell ref="N43:N45"/>
    <mergeCell ref="O40:O45"/>
    <mergeCell ref="O46:O52"/>
    <mergeCell ref="O53:O58"/>
  </mergeCells>
  <phoneticPr fontId="4" type="noConversion"/>
  <pageMargins left="0.51181102362204722" right="0.51181102362204722" top="0.35433070866141736" bottom="0.35433070866141736" header="0.31496062992125984" footer="0.31496062992125984"/>
  <pageSetup paperSize="9" scale="6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7D0F2-4A62-4114-AA84-CE066D754419}">
  <sheetPr>
    <pageSetUpPr fitToPage="1"/>
  </sheetPr>
  <dimension ref="A1:Q78"/>
  <sheetViews>
    <sheetView tabSelected="1" zoomScale="115" zoomScaleNormal="115" zoomScaleSheetLayoutView="100" workbookViewId="0">
      <pane xSplit="2" ySplit="5" topLeftCell="C6" activePane="bottomRight" state="frozen"/>
      <selection activeCell="C76" sqref="C76"/>
      <selection pane="topRight" activeCell="C76" sqref="C76"/>
      <selection pane="bottomLeft" activeCell="C76" sqref="C76"/>
      <selection pane="bottomRight" activeCell="T61" sqref="T61"/>
    </sheetView>
  </sheetViews>
  <sheetFormatPr defaultColWidth="8.88671875" defaultRowHeight="13.5" x14ac:dyDescent="0.15"/>
  <cols>
    <col min="1" max="1" width="3.33203125" customWidth="1"/>
    <col min="2" max="2" width="9" customWidth="1"/>
    <col min="3" max="3" width="44.88671875" customWidth="1"/>
    <col min="4" max="4" width="5.88671875" customWidth="1"/>
    <col min="5" max="5" width="7.21875" customWidth="1"/>
    <col min="6" max="14" width="5.77734375" customWidth="1"/>
    <col min="15" max="15" width="5.5546875" customWidth="1"/>
  </cols>
  <sheetData>
    <row r="1" spans="1:17" ht="28.5" customHeight="1" thickBot="1" x14ac:dyDescent="0.2">
      <c r="A1" s="195" t="s">
        <v>110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7"/>
    </row>
    <row r="2" spans="1:17" ht="17.25" customHeight="1" x14ac:dyDescent="0.3">
      <c r="A2" s="1" t="s">
        <v>37</v>
      </c>
      <c r="B2" s="2"/>
      <c r="C2" s="2"/>
      <c r="D2" s="2"/>
      <c r="E2" s="2"/>
      <c r="F2" s="2"/>
      <c r="G2" s="2"/>
      <c r="H2" s="2"/>
      <c r="I2" s="2"/>
      <c r="J2" s="179" t="s">
        <v>38</v>
      </c>
      <c r="K2" s="179"/>
      <c r="L2" s="179"/>
      <c r="M2" s="179"/>
      <c r="N2" s="179"/>
      <c r="O2" s="180"/>
      <c r="P2" s="109" t="s">
        <v>96</v>
      </c>
      <c r="Q2" s="4">
        <v>81</v>
      </c>
    </row>
    <row r="3" spans="1:17" ht="18.75" customHeight="1" x14ac:dyDescent="0.15">
      <c r="A3" s="200" t="s">
        <v>6</v>
      </c>
      <c r="B3" s="220" t="s">
        <v>10</v>
      </c>
      <c r="C3" s="226" t="s">
        <v>15</v>
      </c>
      <c r="D3" s="224" t="s">
        <v>13</v>
      </c>
      <c r="E3" s="224" t="s">
        <v>12</v>
      </c>
      <c r="F3" s="224" t="s">
        <v>17</v>
      </c>
      <c r="G3" s="224" t="s">
        <v>18</v>
      </c>
      <c r="H3" s="203" t="s">
        <v>42</v>
      </c>
      <c r="I3" s="203"/>
      <c r="J3" s="198" t="s">
        <v>43</v>
      </c>
      <c r="K3" s="198"/>
      <c r="L3" s="198" t="s">
        <v>44</v>
      </c>
      <c r="M3" s="204"/>
      <c r="N3" s="210" t="s">
        <v>19</v>
      </c>
      <c r="O3" s="210" t="s">
        <v>20</v>
      </c>
      <c r="P3" s="4"/>
      <c r="Q3" s="4">
        <f>N6+N11+N16</f>
        <v>54</v>
      </c>
    </row>
    <row r="4" spans="1:17" ht="18.75" customHeight="1" thickBot="1" x14ac:dyDescent="0.2">
      <c r="A4" s="201"/>
      <c r="B4" s="221"/>
      <c r="C4" s="227"/>
      <c r="D4" s="224"/>
      <c r="E4" s="224"/>
      <c r="F4" s="224"/>
      <c r="G4" s="224"/>
      <c r="H4" s="203" t="s">
        <v>0</v>
      </c>
      <c r="I4" s="203" t="s">
        <v>2</v>
      </c>
      <c r="J4" s="198" t="s">
        <v>0</v>
      </c>
      <c r="K4" s="198" t="s">
        <v>2</v>
      </c>
      <c r="L4" s="198" t="s">
        <v>0</v>
      </c>
      <c r="M4" s="204" t="s">
        <v>2</v>
      </c>
      <c r="N4" s="211"/>
      <c r="O4" s="211"/>
      <c r="P4" s="4"/>
      <c r="Q4" s="4">
        <f>Q2-Q3</f>
        <v>27</v>
      </c>
    </row>
    <row r="5" spans="1:17" ht="7.5" hidden="1" customHeight="1" thickBot="1" x14ac:dyDescent="0.2">
      <c r="A5" s="202"/>
      <c r="B5" s="222"/>
      <c r="C5" s="228"/>
      <c r="D5" s="225"/>
      <c r="E5" s="225"/>
      <c r="F5" s="225"/>
      <c r="G5" s="225"/>
      <c r="H5" s="205"/>
      <c r="I5" s="205"/>
      <c r="J5" s="199"/>
      <c r="K5" s="199"/>
      <c r="L5" s="199"/>
      <c r="M5" s="219"/>
      <c r="N5" s="212"/>
      <c r="O5" s="212"/>
    </row>
    <row r="6" spans="1:17" s="4" customFormat="1" ht="17.25" customHeight="1" x14ac:dyDescent="0.15">
      <c r="A6" s="206" t="s">
        <v>9</v>
      </c>
      <c r="B6" s="223" t="s">
        <v>8</v>
      </c>
      <c r="C6" s="73" t="s">
        <v>45</v>
      </c>
      <c r="D6" s="14" t="s">
        <v>16</v>
      </c>
      <c r="E6" s="43" t="s">
        <v>26</v>
      </c>
      <c r="F6" s="14">
        <v>4</v>
      </c>
      <c r="G6" s="14">
        <v>4</v>
      </c>
      <c r="H6" s="15">
        <v>4</v>
      </c>
      <c r="I6" s="15"/>
      <c r="J6" s="16"/>
      <c r="K6" s="14"/>
      <c r="L6" s="14"/>
      <c r="M6" s="59"/>
      <c r="N6" s="175">
        <f>SUM(H6:M10)</f>
        <v>19</v>
      </c>
      <c r="O6" s="166">
        <v>8</v>
      </c>
    </row>
    <row r="7" spans="1:17" s="4" customFormat="1" ht="17.25" customHeight="1" x14ac:dyDescent="0.15">
      <c r="A7" s="207"/>
      <c r="B7" s="213"/>
      <c r="C7" s="74" t="s">
        <v>46</v>
      </c>
      <c r="D7" s="18" t="s">
        <v>16</v>
      </c>
      <c r="E7" s="44" t="s">
        <v>26</v>
      </c>
      <c r="F7" s="18">
        <v>4</v>
      </c>
      <c r="G7" s="18">
        <v>3</v>
      </c>
      <c r="H7" s="19"/>
      <c r="I7" s="19">
        <v>3</v>
      </c>
      <c r="J7" s="20"/>
      <c r="K7" s="18"/>
      <c r="L7" s="18"/>
      <c r="M7" s="53"/>
      <c r="N7" s="170"/>
      <c r="O7" s="167"/>
    </row>
    <row r="8" spans="1:17" s="4" customFormat="1" ht="17.25" customHeight="1" x14ac:dyDescent="0.15">
      <c r="A8" s="208"/>
      <c r="B8" s="213"/>
      <c r="C8" s="6" t="s">
        <v>25</v>
      </c>
      <c r="D8" s="21" t="s">
        <v>16</v>
      </c>
      <c r="E8" s="21" t="s">
        <v>27</v>
      </c>
      <c r="F8" s="21">
        <v>4</v>
      </c>
      <c r="G8" s="21">
        <v>4</v>
      </c>
      <c r="H8" s="22"/>
      <c r="I8" s="22"/>
      <c r="J8" s="21">
        <v>4</v>
      </c>
      <c r="K8" s="21"/>
      <c r="L8" s="21"/>
      <c r="M8" s="52"/>
      <c r="N8" s="171"/>
      <c r="O8" s="168"/>
    </row>
    <row r="9" spans="1:17" s="4" customFormat="1" ht="17.25" customHeight="1" x14ac:dyDescent="0.15">
      <c r="A9" s="208"/>
      <c r="B9" s="213"/>
      <c r="C9" s="6" t="s">
        <v>81</v>
      </c>
      <c r="D9" s="21" t="s">
        <v>16</v>
      </c>
      <c r="E9" s="21" t="s">
        <v>27</v>
      </c>
      <c r="F9" s="21">
        <v>4</v>
      </c>
      <c r="G9" s="21">
        <v>4</v>
      </c>
      <c r="H9" s="22"/>
      <c r="I9" s="22"/>
      <c r="J9" s="21"/>
      <c r="K9" s="21">
        <v>4</v>
      </c>
      <c r="L9" s="21"/>
      <c r="M9" s="52"/>
      <c r="N9" s="171"/>
      <c r="O9" s="168"/>
    </row>
    <row r="10" spans="1:17" s="4" customFormat="1" ht="17.25" customHeight="1" x14ac:dyDescent="0.15">
      <c r="A10" s="208"/>
      <c r="B10" s="213"/>
      <c r="C10" s="6" t="s">
        <v>52</v>
      </c>
      <c r="D10" s="21" t="s">
        <v>16</v>
      </c>
      <c r="E10" s="21" t="s">
        <v>27</v>
      </c>
      <c r="F10" s="21">
        <v>4</v>
      </c>
      <c r="G10" s="21">
        <v>4</v>
      </c>
      <c r="H10" s="22"/>
      <c r="I10" s="22"/>
      <c r="J10" s="21"/>
      <c r="K10" s="21">
        <v>4</v>
      </c>
      <c r="L10" s="21"/>
      <c r="M10" s="52"/>
      <c r="N10" s="171"/>
      <c r="O10" s="168"/>
    </row>
    <row r="11" spans="1:17" s="4" customFormat="1" ht="17.25" customHeight="1" x14ac:dyDescent="0.15">
      <c r="A11" s="208"/>
      <c r="B11" s="215" t="s">
        <v>1</v>
      </c>
      <c r="C11" s="75" t="s">
        <v>47</v>
      </c>
      <c r="D11" s="24" t="s">
        <v>16</v>
      </c>
      <c r="E11" s="45" t="s">
        <v>26</v>
      </c>
      <c r="F11" s="24">
        <v>4</v>
      </c>
      <c r="G11" s="24">
        <v>4</v>
      </c>
      <c r="H11" s="25">
        <v>4</v>
      </c>
      <c r="I11" s="25"/>
      <c r="J11" s="24"/>
      <c r="K11" s="24"/>
      <c r="L11" s="24"/>
      <c r="M11" s="54"/>
      <c r="N11" s="169">
        <f>SUM(H11:M15)</f>
        <v>19</v>
      </c>
      <c r="O11" s="173">
        <v>8</v>
      </c>
    </row>
    <row r="12" spans="1:17" s="4" customFormat="1" ht="17.25" customHeight="1" x14ac:dyDescent="0.15">
      <c r="A12" s="208"/>
      <c r="B12" s="213"/>
      <c r="C12" s="74" t="s">
        <v>48</v>
      </c>
      <c r="D12" s="18" t="s">
        <v>16</v>
      </c>
      <c r="E12" s="44" t="s">
        <v>26</v>
      </c>
      <c r="F12" s="18">
        <v>4</v>
      </c>
      <c r="G12" s="18">
        <v>3</v>
      </c>
      <c r="H12" s="19"/>
      <c r="I12" s="19">
        <v>3</v>
      </c>
      <c r="J12" s="26"/>
      <c r="K12" s="18"/>
      <c r="L12" s="18"/>
      <c r="M12" s="53"/>
      <c r="N12" s="170"/>
      <c r="O12" s="167"/>
    </row>
    <row r="13" spans="1:17" s="4" customFormat="1" ht="17.25" customHeight="1" x14ac:dyDescent="0.15">
      <c r="A13" s="208"/>
      <c r="B13" s="213"/>
      <c r="C13" s="6" t="s">
        <v>53</v>
      </c>
      <c r="D13" s="21" t="s">
        <v>16</v>
      </c>
      <c r="E13" s="21" t="s">
        <v>27</v>
      </c>
      <c r="F13" s="21">
        <v>4</v>
      </c>
      <c r="G13" s="21">
        <v>4</v>
      </c>
      <c r="H13" s="22"/>
      <c r="I13" s="22"/>
      <c r="J13" s="27">
        <v>4</v>
      </c>
      <c r="K13" s="21"/>
      <c r="L13" s="21"/>
      <c r="M13" s="52"/>
      <c r="N13" s="171"/>
      <c r="O13" s="168"/>
    </row>
    <row r="14" spans="1:17" s="4" customFormat="1" ht="17.25" customHeight="1" x14ac:dyDescent="0.15">
      <c r="A14" s="208"/>
      <c r="B14" s="213"/>
      <c r="C14" s="6" t="s">
        <v>54</v>
      </c>
      <c r="D14" s="21" t="s">
        <v>16</v>
      </c>
      <c r="E14" s="21" t="s">
        <v>27</v>
      </c>
      <c r="F14" s="21">
        <v>4</v>
      </c>
      <c r="G14" s="21">
        <v>4</v>
      </c>
      <c r="H14" s="22"/>
      <c r="I14" s="22"/>
      <c r="J14" s="21"/>
      <c r="K14" s="21">
        <v>4</v>
      </c>
      <c r="L14" s="21"/>
      <c r="M14" s="52"/>
      <c r="N14" s="171"/>
      <c r="O14" s="168"/>
    </row>
    <row r="15" spans="1:17" s="4" customFormat="1" ht="17.25" customHeight="1" x14ac:dyDescent="0.15">
      <c r="A15" s="208"/>
      <c r="B15" s="214"/>
      <c r="C15" s="70" t="s">
        <v>31</v>
      </c>
      <c r="D15" s="21" t="s">
        <v>16</v>
      </c>
      <c r="E15" s="28" t="s">
        <v>27</v>
      </c>
      <c r="F15" s="28">
        <v>4</v>
      </c>
      <c r="G15" s="28">
        <v>4</v>
      </c>
      <c r="H15" s="29"/>
      <c r="I15" s="29"/>
      <c r="J15" s="28"/>
      <c r="K15" s="28">
        <v>4</v>
      </c>
      <c r="L15" s="28"/>
      <c r="M15" s="51"/>
      <c r="N15" s="172"/>
      <c r="O15" s="174"/>
    </row>
    <row r="16" spans="1:17" s="4" customFormat="1" ht="17.25" customHeight="1" x14ac:dyDescent="0.15">
      <c r="A16" s="208"/>
      <c r="B16" s="213" t="s">
        <v>3</v>
      </c>
      <c r="C16" s="75" t="s">
        <v>49</v>
      </c>
      <c r="D16" s="24" t="s">
        <v>16</v>
      </c>
      <c r="E16" s="45" t="s">
        <v>26</v>
      </c>
      <c r="F16" s="24">
        <v>4</v>
      </c>
      <c r="G16" s="24">
        <v>4</v>
      </c>
      <c r="H16" s="25">
        <v>4</v>
      </c>
      <c r="I16" s="25"/>
      <c r="J16" s="24"/>
      <c r="K16" s="24"/>
      <c r="L16" s="24"/>
      <c r="M16" s="54"/>
      <c r="N16" s="169">
        <f>SUM(H16:M19)</f>
        <v>16</v>
      </c>
      <c r="O16" s="173">
        <v>8</v>
      </c>
    </row>
    <row r="17" spans="1:15" s="4" customFormat="1" ht="17.25" customHeight="1" x14ac:dyDescent="0.15">
      <c r="A17" s="208"/>
      <c r="B17" s="213"/>
      <c r="C17" s="74" t="s">
        <v>50</v>
      </c>
      <c r="D17" s="18" t="s">
        <v>16</v>
      </c>
      <c r="E17" s="44" t="s">
        <v>26</v>
      </c>
      <c r="F17" s="18">
        <v>4</v>
      </c>
      <c r="G17" s="18">
        <v>4</v>
      </c>
      <c r="H17" s="19"/>
      <c r="I17" s="19">
        <v>4</v>
      </c>
      <c r="J17" s="18"/>
      <c r="K17" s="18"/>
      <c r="L17" s="18"/>
      <c r="M17" s="53"/>
      <c r="N17" s="170"/>
      <c r="O17" s="167"/>
    </row>
    <row r="18" spans="1:15" s="4" customFormat="1" ht="17.25" customHeight="1" x14ac:dyDescent="0.15">
      <c r="A18" s="208"/>
      <c r="B18" s="213"/>
      <c r="C18" s="6" t="s">
        <v>29</v>
      </c>
      <c r="D18" s="21" t="s">
        <v>16</v>
      </c>
      <c r="E18" s="21" t="s">
        <v>27</v>
      </c>
      <c r="F18" s="21">
        <v>4</v>
      </c>
      <c r="G18" s="21">
        <v>4</v>
      </c>
      <c r="H18" s="22"/>
      <c r="I18" s="22"/>
      <c r="J18" s="21">
        <v>4</v>
      </c>
      <c r="K18" s="21"/>
      <c r="L18" s="21"/>
      <c r="M18" s="52"/>
      <c r="N18" s="171"/>
      <c r="O18" s="168"/>
    </row>
    <row r="19" spans="1:15" s="4" customFormat="1" ht="17.25" customHeight="1" x14ac:dyDescent="0.15">
      <c r="A19" s="208"/>
      <c r="B19" s="213"/>
      <c r="C19" s="6" t="s">
        <v>30</v>
      </c>
      <c r="D19" s="62" t="s">
        <v>16</v>
      </c>
      <c r="E19" s="21" t="s">
        <v>27</v>
      </c>
      <c r="F19" s="21">
        <v>4</v>
      </c>
      <c r="G19" s="21">
        <v>4</v>
      </c>
      <c r="H19" s="22"/>
      <c r="I19" s="22"/>
      <c r="J19" s="21"/>
      <c r="K19" s="21">
        <v>4</v>
      </c>
      <c r="L19" s="21"/>
      <c r="M19" s="52"/>
      <c r="N19" s="171"/>
      <c r="O19" s="168"/>
    </row>
    <row r="20" spans="1:15" s="4" customFormat="1" ht="17.25" customHeight="1" x14ac:dyDescent="0.15">
      <c r="A20" s="208"/>
      <c r="B20" s="215" t="s">
        <v>71</v>
      </c>
      <c r="C20" s="77" t="s">
        <v>51</v>
      </c>
      <c r="D20" s="24" t="s">
        <v>16</v>
      </c>
      <c r="E20" s="102" t="s">
        <v>26</v>
      </c>
      <c r="F20" s="24">
        <v>3</v>
      </c>
      <c r="G20" s="24">
        <v>3</v>
      </c>
      <c r="H20" s="25">
        <v>3</v>
      </c>
      <c r="I20" s="25"/>
      <c r="J20" s="24"/>
      <c r="K20" s="32"/>
      <c r="L20" s="24"/>
      <c r="M20" s="54"/>
      <c r="N20" s="145">
        <f>SUM(H20:M21)</f>
        <v>6</v>
      </c>
      <c r="O20" s="176">
        <v>6</v>
      </c>
    </row>
    <row r="21" spans="1:15" s="4" customFormat="1" ht="17.25" customHeight="1" x14ac:dyDescent="0.15">
      <c r="A21" s="208"/>
      <c r="B21" s="213"/>
      <c r="C21" s="70" t="s">
        <v>55</v>
      </c>
      <c r="D21" s="21" t="s">
        <v>16</v>
      </c>
      <c r="E21" s="103" t="s">
        <v>26</v>
      </c>
      <c r="F21" s="21">
        <v>3</v>
      </c>
      <c r="G21" s="21">
        <v>3</v>
      </c>
      <c r="H21" s="22"/>
      <c r="I21" s="22">
        <v>3</v>
      </c>
      <c r="J21" s="21"/>
      <c r="K21" s="99"/>
      <c r="L21" s="21"/>
      <c r="M21" s="52"/>
      <c r="N21" s="146"/>
      <c r="O21" s="178"/>
    </row>
    <row r="22" spans="1:15" s="4" customFormat="1" ht="17.25" customHeight="1" x14ac:dyDescent="0.15">
      <c r="A22" s="208"/>
      <c r="B22" s="213"/>
      <c r="C22" s="6" t="s">
        <v>56</v>
      </c>
      <c r="D22" s="21" t="s">
        <v>16</v>
      </c>
      <c r="E22" s="103" t="s">
        <v>26</v>
      </c>
      <c r="F22" s="21">
        <v>4</v>
      </c>
      <c r="G22" s="21">
        <v>4</v>
      </c>
      <c r="H22" s="22">
        <v>4</v>
      </c>
      <c r="I22" s="22"/>
      <c r="J22" s="21"/>
      <c r="K22" s="21"/>
      <c r="L22" s="99"/>
      <c r="M22" s="105"/>
      <c r="N22" s="145">
        <f>SUM(H22:M23)</f>
        <v>8</v>
      </c>
      <c r="O22" s="176">
        <v>8</v>
      </c>
    </row>
    <row r="23" spans="1:15" s="4" customFormat="1" ht="17.25" customHeight="1" x14ac:dyDescent="0.15">
      <c r="A23" s="208"/>
      <c r="B23" s="214"/>
      <c r="C23" s="71" t="s">
        <v>57</v>
      </c>
      <c r="D23" s="62" t="s">
        <v>16</v>
      </c>
      <c r="E23" s="104" t="s">
        <v>26</v>
      </c>
      <c r="F23" s="34">
        <v>4</v>
      </c>
      <c r="G23" s="34">
        <v>4</v>
      </c>
      <c r="H23" s="35"/>
      <c r="I23" s="35">
        <v>4</v>
      </c>
      <c r="J23" s="34"/>
      <c r="K23" s="34"/>
      <c r="L23" s="100"/>
      <c r="M23" s="101"/>
      <c r="N23" s="146"/>
      <c r="O23" s="178"/>
    </row>
    <row r="24" spans="1:15" s="4" customFormat="1" ht="17.25" customHeight="1" x14ac:dyDescent="0.15">
      <c r="A24" s="208"/>
      <c r="B24" s="213" t="s">
        <v>5</v>
      </c>
      <c r="C24" s="77" t="s">
        <v>58</v>
      </c>
      <c r="D24" s="24" t="s">
        <v>16</v>
      </c>
      <c r="E24" s="45" t="s">
        <v>26</v>
      </c>
      <c r="F24" s="24">
        <v>4</v>
      </c>
      <c r="G24" s="24">
        <v>4</v>
      </c>
      <c r="H24" s="25">
        <v>4</v>
      </c>
      <c r="I24" s="25"/>
      <c r="J24" s="24"/>
      <c r="K24" s="24"/>
      <c r="L24" s="32"/>
      <c r="M24" s="60"/>
      <c r="N24" s="145">
        <f>SUM(H24:M27)</f>
        <v>10</v>
      </c>
      <c r="O24" s="176">
        <v>10</v>
      </c>
    </row>
    <row r="25" spans="1:15" s="4" customFormat="1" ht="17.25" customHeight="1" x14ac:dyDescent="0.15">
      <c r="A25" s="208"/>
      <c r="B25" s="213"/>
      <c r="C25" s="6" t="s">
        <v>59</v>
      </c>
      <c r="D25" s="21" t="s">
        <v>16</v>
      </c>
      <c r="E25" s="46" t="s">
        <v>26</v>
      </c>
      <c r="F25" s="18">
        <v>4</v>
      </c>
      <c r="G25" s="18">
        <v>4</v>
      </c>
      <c r="H25" s="19"/>
      <c r="I25" s="19">
        <v>4</v>
      </c>
      <c r="J25" s="18"/>
      <c r="K25" s="18"/>
      <c r="L25" s="33"/>
      <c r="M25" s="61"/>
      <c r="N25" s="148"/>
      <c r="O25" s="177"/>
    </row>
    <row r="26" spans="1:15" s="4" customFormat="1" ht="17.25" customHeight="1" x14ac:dyDescent="0.15">
      <c r="A26" s="208"/>
      <c r="B26" s="213"/>
      <c r="C26" s="74" t="s">
        <v>60</v>
      </c>
      <c r="D26" s="21" t="s">
        <v>16</v>
      </c>
      <c r="E26" s="46" t="s">
        <v>26</v>
      </c>
      <c r="F26" s="18">
        <v>1</v>
      </c>
      <c r="G26" s="18">
        <v>1</v>
      </c>
      <c r="H26" s="19"/>
      <c r="I26" s="19">
        <v>1</v>
      </c>
      <c r="J26" s="18"/>
      <c r="K26" s="18"/>
      <c r="L26" s="33"/>
      <c r="M26" s="61"/>
      <c r="N26" s="148"/>
      <c r="O26" s="177"/>
    </row>
    <row r="27" spans="1:15" s="4" customFormat="1" ht="17.25" customHeight="1" x14ac:dyDescent="0.15">
      <c r="A27" s="208"/>
      <c r="B27" s="214"/>
      <c r="C27" s="78" t="s">
        <v>61</v>
      </c>
      <c r="D27" s="18" t="s">
        <v>16</v>
      </c>
      <c r="E27" s="44" t="s">
        <v>26</v>
      </c>
      <c r="F27" s="21">
        <v>1</v>
      </c>
      <c r="G27" s="21">
        <v>1</v>
      </c>
      <c r="H27" s="22"/>
      <c r="I27" s="22">
        <v>1</v>
      </c>
      <c r="J27" s="21"/>
      <c r="K27" s="21"/>
      <c r="L27" s="21"/>
      <c r="M27" s="52"/>
      <c r="N27" s="146"/>
      <c r="O27" s="177"/>
    </row>
    <row r="28" spans="1:15" s="4" customFormat="1" ht="17.25" customHeight="1" x14ac:dyDescent="0.15">
      <c r="A28" s="208"/>
      <c r="B28" s="215" t="s">
        <v>4</v>
      </c>
      <c r="C28" s="8" t="s">
        <v>63</v>
      </c>
      <c r="D28" s="30" t="s">
        <v>16</v>
      </c>
      <c r="E28" s="30" t="s">
        <v>27</v>
      </c>
      <c r="F28" s="30">
        <v>3</v>
      </c>
      <c r="G28" s="30">
        <v>2</v>
      </c>
      <c r="H28" s="31">
        <v>2</v>
      </c>
      <c r="I28" s="31"/>
      <c r="J28" s="30"/>
      <c r="K28" s="30"/>
      <c r="L28" s="30"/>
      <c r="M28" s="23"/>
      <c r="N28" s="169">
        <f>SUM(H28:M33)</f>
        <v>10</v>
      </c>
      <c r="O28" s="173">
        <v>10</v>
      </c>
    </row>
    <row r="29" spans="1:15" s="4" customFormat="1" ht="17.25" customHeight="1" x14ac:dyDescent="0.15">
      <c r="A29" s="208"/>
      <c r="B29" s="213"/>
      <c r="C29" s="5" t="s">
        <v>64</v>
      </c>
      <c r="D29" s="21" t="s">
        <v>16</v>
      </c>
      <c r="E29" s="21" t="s">
        <v>27</v>
      </c>
      <c r="F29" s="21">
        <v>3</v>
      </c>
      <c r="G29" s="21">
        <v>2</v>
      </c>
      <c r="H29" s="22"/>
      <c r="I29" s="22">
        <v>2</v>
      </c>
      <c r="J29" s="21"/>
      <c r="K29" s="21"/>
      <c r="L29" s="21"/>
      <c r="M29" s="52"/>
      <c r="N29" s="148"/>
      <c r="O29" s="177"/>
    </row>
    <row r="30" spans="1:15" s="4" customFormat="1" ht="17.25" customHeight="1" x14ac:dyDescent="0.15">
      <c r="A30" s="208"/>
      <c r="B30" s="213"/>
      <c r="C30" s="5" t="s">
        <v>65</v>
      </c>
      <c r="D30" s="21" t="s">
        <v>16</v>
      </c>
      <c r="E30" s="21" t="s">
        <v>28</v>
      </c>
      <c r="F30" s="21">
        <v>2</v>
      </c>
      <c r="G30" s="21">
        <v>1</v>
      </c>
      <c r="H30" s="22"/>
      <c r="I30" s="22"/>
      <c r="J30" s="21">
        <v>1</v>
      </c>
      <c r="K30" s="21"/>
      <c r="L30" s="21"/>
      <c r="M30" s="52"/>
      <c r="N30" s="148"/>
      <c r="O30" s="177"/>
    </row>
    <row r="31" spans="1:15" s="4" customFormat="1" ht="17.25" customHeight="1" x14ac:dyDescent="0.15">
      <c r="A31" s="208"/>
      <c r="B31" s="213"/>
      <c r="C31" s="5" t="s">
        <v>67</v>
      </c>
      <c r="D31" s="21" t="s">
        <v>16</v>
      </c>
      <c r="E31" s="21" t="s">
        <v>28</v>
      </c>
      <c r="F31" s="21">
        <v>2</v>
      </c>
      <c r="G31" s="21">
        <v>1</v>
      </c>
      <c r="H31" s="22"/>
      <c r="I31" s="22"/>
      <c r="J31" s="21"/>
      <c r="K31" s="21">
        <v>1</v>
      </c>
      <c r="L31" s="21"/>
      <c r="M31" s="52"/>
      <c r="N31" s="148"/>
      <c r="O31" s="177"/>
    </row>
    <row r="32" spans="1:15" s="4" customFormat="1" ht="17.25" customHeight="1" x14ac:dyDescent="0.15">
      <c r="A32" s="208"/>
      <c r="B32" s="213"/>
      <c r="C32" s="5" t="s">
        <v>32</v>
      </c>
      <c r="D32" s="21" t="s">
        <v>16</v>
      </c>
      <c r="E32" s="21" t="s">
        <v>28</v>
      </c>
      <c r="F32" s="21">
        <v>3</v>
      </c>
      <c r="G32" s="21">
        <v>2</v>
      </c>
      <c r="H32" s="22"/>
      <c r="I32" s="22"/>
      <c r="J32" s="21"/>
      <c r="K32" s="21"/>
      <c r="L32" s="21">
        <v>2</v>
      </c>
      <c r="M32" s="52"/>
      <c r="N32" s="148"/>
      <c r="O32" s="177"/>
    </row>
    <row r="33" spans="1:15" s="4" customFormat="1" ht="17.25" customHeight="1" x14ac:dyDescent="0.15">
      <c r="A33" s="208"/>
      <c r="B33" s="214"/>
      <c r="C33" s="9" t="s">
        <v>66</v>
      </c>
      <c r="D33" s="34" t="s">
        <v>16</v>
      </c>
      <c r="E33" s="34" t="s">
        <v>69</v>
      </c>
      <c r="F33" s="34">
        <v>3</v>
      </c>
      <c r="G33" s="34">
        <v>2</v>
      </c>
      <c r="H33" s="35"/>
      <c r="I33" s="35"/>
      <c r="J33" s="34"/>
      <c r="K33" s="34"/>
      <c r="L33" s="34"/>
      <c r="M33" s="17">
        <v>2</v>
      </c>
      <c r="N33" s="148"/>
      <c r="O33" s="177"/>
    </row>
    <row r="34" spans="1:15" s="4" customFormat="1" ht="17.25" customHeight="1" x14ac:dyDescent="0.15">
      <c r="A34" s="208"/>
      <c r="B34" s="215" t="s">
        <v>7</v>
      </c>
      <c r="C34" s="79" t="s">
        <v>33</v>
      </c>
      <c r="D34" s="30" t="s">
        <v>16</v>
      </c>
      <c r="E34" s="37" t="s">
        <v>27</v>
      </c>
      <c r="F34" s="24">
        <v>3</v>
      </c>
      <c r="G34" s="24">
        <v>2</v>
      </c>
      <c r="H34" s="25">
        <v>2</v>
      </c>
      <c r="I34" s="25"/>
      <c r="J34" s="24"/>
      <c r="K34" s="24"/>
      <c r="L34" s="24"/>
      <c r="M34" s="54"/>
      <c r="N34" s="169">
        <f>SUM(H34:M35)</f>
        <v>4</v>
      </c>
      <c r="O34" s="173">
        <v>10</v>
      </c>
    </row>
    <row r="35" spans="1:15" s="4" customFormat="1" ht="15.75" customHeight="1" x14ac:dyDescent="0.15">
      <c r="A35" s="208"/>
      <c r="B35" s="213"/>
      <c r="C35" s="76" t="s">
        <v>62</v>
      </c>
      <c r="D35" s="28" t="s">
        <v>16</v>
      </c>
      <c r="E35" s="47" t="s">
        <v>27</v>
      </c>
      <c r="F35" s="28">
        <v>3</v>
      </c>
      <c r="G35" s="28">
        <v>2</v>
      </c>
      <c r="H35" s="29"/>
      <c r="I35" s="29">
        <v>2</v>
      </c>
      <c r="J35" s="28"/>
      <c r="K35" s="28"/>
      <c r="L35" s="28"/>
      <c r="M35" s="51"/>
      <c r="N35" s="148"/>
      <c r="O35" s="177"/>
    </row>
    <row r="36" spans="1:15" s="4" customFormat="1" ht="21.75" customHeight="1" x14ac:dyDescent="0.15">
      <c r="A36" s="208"/>
      <c r="B36" s="215" t="s">
        <v>78</v>
      </c>
      <c r="C36" s="7" t="s">
        <v>39</v>
      </c>
      <c r="D36" s="24" t="s">
        <v>16</v>
      </c>
      <c r="E36" s="24" t="s">
        <v>27</v>
      </c>
      <c r="F36" s="24">
        <v>4</v>
      </c>
      <c r="G36" s="24">
        <v>3</v>
      </c>
      <c r="H36" s="25">
        <v>3</v>
      </c>
      <c r="I36" s="25"/>
      <c r="J36" s="24"/>
      <c r="K36" s="24"/>
      <c r="L36" s="24"/>
      <c r="M36" s="54"/>
      <c r="N36" s="169">
        <f>SUM(H36:M38)</f>
        <v>9</v>
      </c>
      <c r="O36" s="173">
        <v>16</v>
      </c>
    </row>
    <row r="37" spans="1:15" s="4" customFormat="1" ht="18.75" customHeight="1" x14ac:dyDescent="0.15">
      <c r="A37" s="208"/>
      <c r="B37" s="213"/>
      <c r="C37" s="80" t="s">
        <v>72</v>
      </c>
      <c r="D37" s="38" t="s">
        <v>16</v>
      </c>
      <c r="E37" s="38" t="s">
        <v>28</v>
      </c>
      <c r="F37" s="34">
        <v>4</v>
      </c>
      <c r="G37" s="34">
        <v>3</v>
      </c>
      <c r="H37" s="35"/>
      <c r="I37" s="35">
        <v>3</v>
      </c>
      <c r="J37" s="34"/>
      <c r="K37" s="34"/>
      <c r="L37" s="34"/>
      <c r="M37" s="17"/>
      <c r="N37" s="170"/>
      <c r="O37" s="167"/>
    </row>
    <row r="38" spans="1:15" s="4" customFormat="1" ht="23.25" customHeight="1" x14ac:dyDescent="0.15">
      <c r="A38" s="208"/>
      <c r="B38" s="23" t="s">
        <v>70</v>
      </c>
      <c r="C38" s="12" t="s">
        <v>68</v>
      </c>
      <c r="D38" s="37" t="s">
        <v>16</v>
      </c>
      <c r="E38" s="37" t="s">
        <v>27</v>
      </c>
      <c r="F38" s="30">
        <v>4</v>
      </c>
      <c r="G38" s="30">
        <v>3</v>
      </c>
      <c r="H38" s="31"/>
      <c r="I38" s="31"/>
      <c r="J38" s="30">
        <v>3</v>
      </c>
      <c r="K38" s="30"/>
      <c r="L38" s="30"/>
      <c r="M38" s="23"/>
      <c r="N38" s="170"/>
      <c r="O38" s="167"/>
    </row>
    <row r="39" spans="1:15" s="4" customFormat="1" ht="21" customHeight="1" thickBot="1" x14ac:dyDescent="0.2">
      <c r="A39" s="209"/>
      <c r="B39" s="216" t="s">
        <v>24</v>
      </c>
      <c r="C39" s="217"/>
      <c r="D39" s="217"/>
      <c r="E39" s="217"/>
      <c r="F39" s="218"/>
      <c r="G39" s="81">
        <f>SUM(G6:G38)</f>
        <v>101</v>
      </c>
      <c r="H39" s="82">
        <f t="shared" ref="H39:O39" si="0">SUM(H6:H38)</f>
        <v>30</v>
      </c>
      <c r="I39" s="82">
        <f t="shared" si="0"/>
        <v>30</v>
      </c>
      <c r="J39" s="81">
        <f t="shared" si="0"/>
        <v>16</v>
      </c>
      <c r="K39" s="81">
        <f t="shared" si="0"/>
        <v>21</v>
      </c>
      <c r="L39" s="81">
        <f t="shared" si="0"/>
        <v>2</v>
      </c>
      <c r="M39" s="83">
        <f t="shared" si="0"/>
        <v>2</v>
      </c>
      <c r="N39" s="69">
        <f t="shared" si="0"/>
        <v>101</v>
      </c>
      <c r="O39" s="106">
        <f t="shared" si="0"/>
        <v>84</v>
      </c>
    </row>
    <row r="40" spans="1:15" s="4" customFormat="1" ht="21" customHeight="1" x14ac:dyDescent="0.15">
      <c r="A40" s="159" t="s">
        <v>84</v>
      </c>
      <c r="B40" s="162" t="s">
        <v>82</v>
      </c>
      <c r="C40" s="163" t="s">
        <v>90</v>
      </c>
      <c r="D40" s="162" t="s">
        <v>77</v>
      </c>
      <c r="E40" s="162" t="s">
        <v>27</v>
      </c>
      <c r="F40" s="95">
        <v>4</v>
      </c>
      <c r="G40" s="39">
        <v>4</v>
      </c>
      <c r="H40" s="63"/>
      <c r="I40" s="63"/>
      <c r="J40" s="162">
        <v>12</v>
      </c>
      <c r="K40" s="14"/>
      <c r="L40" s="14"/>
      <c r="M40" s="59"/>
      <c r="N40" s="147">
        <v>12</v>
      </c>
      <c r="O40" s="232"/>
    </row>
    <row r="41" spans="1:15" s="4" customFormat="1" ht="21" customHeight="1" x14ac:dyDescent="0.15">
      <c r="A41" s="160"/>
      <c r="B41" s="154"/>
      <c r="C41" s="157"/>
      <c r="D41" s="154"/>
      <c r="E41" s="154"/>
      <c r="F41" s="21">
        <v>4</v>
      </c>
      <c r="G41" s="21">
        <v>4</v>
      </c>
      <c r="H41" s="22"/>
      <c r="I41" s="22"/>
      <c r="J41" s="154"/>
      <c r="K41" s="21"/>
      <c r="L41" s="21"/>
      <c r="M41" s="52"/>
      <c r="N41" s="148"/>
      <c r="O41" s="233"/>
    </row>
    <row r="42" spans="1:15" s="4" customFormat="1" ht="15.75" customHeight="1" x14ac:dyDescent="0.15">
      <c r="A42" s="160"/>
      <c r="B42" s="154"/>
      <c r="C42" s="158"/>
      <c r="D42" s="155"/>
      <c r="E42" s="155"/>
      <c r="F42" s="97">
        <v>4</v>
      </c>
      <c r="G42" s="34">
        <v>4</v>
      </c>
      <c r="H42" s="35"/>
      <c r="I42" s="35"/>
      <c r="J42" s="155"/>
      <c r="K42" s="34"/>
      <c r="L42" s="34"/>
      <c r="M42" s="17"/>
      <c r="N42" s="146"/>
      <c r="O42" s="233"/>
    </row>
    <row r="43" spans="1:15" s="4" customFormat="1" ht="24" customHeight="1" x14ac:dyDescent="0.15">
      <c r="A43" s="160"/>
      <c r="B43" s="154"/>
      <c r="C43" s="156" t="s">
        <v>94</v>
      </c>
      <c r="D43" s="153" t="s">
        <v>77</v>
      </c>
      <c r="E43" s="153" t="s">
        <v>79</v>
      </c>
      <c r="F43" s="24">
        <v>4</v>
      </c>
      <c r="G43" s="24">
        <v>3</v>
      </c>
      <c r="H43" s="25"/>
      <c r="I43" s="25"/>
      <c r="J43" s="24"/>
      <c r="K43" s="153">
        <v>9</v>
      </c>
      <c r="L43" s="24"/>
      <c r="M43" s="54"/>
      <c r="N43" s="145">
        <v>9</v>
      </c>
      <c r="O43" s="233"/>
    </row>
    <row r="44" spans="1:15" s="4" customFormat="1" ht="26.25" customHeight="1" x14ac:dyDescent="0.15">
      <c r="A44" s="160"/>
      <c r="B44" s="154"/>
      <c r="C44" s="157"/>
      <c r="D44" s="154"/>
      <c r="E44" s="154"/>
      <c r="F44" s="18">
        <v>4</v>
      </c>
      <c r="G44" s="18">
        <v>3</v>
      </c>
      <c r="H44" s="19"/>
      <c r="I44" s="19"/>
      <c r="J44" s="18"/>
      <c r="K44" s="154"/>
      <c r="L44" s="21"/>
      <c r="M44" s="52"/>
      <c r="N44" s="148"/>
      <c r="O44" s="233"/>
    </row>
    <row r="45" spans="1:15" s="4" customFormat="1" ht="27.75" customHeight="1" x14ac:dyDescent="0.15">
      <c r="A45" s="160"/>
      <c r="B45" s="155"/>
      <c r="C45" s="158"/>
      <c r="D45" s="155"/>
      <c r="E45" s="155"/>
      <c r="F45" s="97">
        <v>4</v>
      </c>
      <c r="G45" s="34">
        <v>3</v>
      </c>
      <c r="H45" s="35"/>
      <c r="I45" s="35"/>
      <c r="J45" s="34"/>
      <c r="K45" s="155"/>
      <c r="L45" s="34"/>
      <c r="M45" s="17"/>
      <c r="N45" s="146"/>
      <c r="O45" s="234"/>
    </row>
    <row r="46" spans="1:15" s="4" customFormat="1" ht="16.5" customHeight="1" x14ac:dyDescent="0.15">
      <c r="A46" s="160"/>
      <c r="B46" s="154" t="s">
        <v>85</v>
      </c>
      <c r="C46" s="157" t="s">
        <v>111</v>
      </c>
      <c r="D46" s="156" t="s">
        <v>83</v>
      </c>
      <c r="E46" s="156" t="s">
        <v>89</v>
      </c>
      <c r="F46" s="37">
        <v>4</v>
      </c>
      <c r="G46" s="30">
        <v>3</v>
      </c>
      <c r="H46" s="31"/>
      <c r="I46" s="31"/>
      <c r="J46" s="30"/>
      <c r="K46" s="30"/>
      <c r="L46" s="153">
        <v>21</v>
      </c>
      <c r="M46" s="23"/>
      <c r="N46" s="145">
        <f t="shared" ref="N46:N53" si="1">SUM(H46:M46)</f>
        <v>21</v>
      </c>
      <c r="O46" s="235" t="s">
        <v>86</v>
      </c>
    </row>
    <row r="47" spans="1:15" s="4" customFormat="1" ht="21" customHeight="1" x14ac:dyDescent="0.15">
      <c r="A47" s="160"/>
      <c r="B47" s="154"/>
      <c r="C47" s="157"/>
      <c r="D47" s="157"/>
      <c r="E47" s="157"/>
      <c r="F47" s="72">
        <v>4</v>
      </c>
      <c r="G47" s="21">
        <v>3</v>
      </c>
      <c r="H47" s="22"/>
      <c r="I47" s="22"/>
      <c r="J47" s="21"/>
      <c r="K47" s="21"/>
      <c r="L47" s="154"/>
      <c r="M47" s="52"/>
      <c r="N47" s="148"/>
      <c r="O47" s="233"/>
    </row>
    <row r="48" spans="1:15" s="4" customFormat="1" ht="21" customHeight="1" x14ac:dyDescent="0.15">
      <c r="A48" s="160"/>
      <c r="B48" s="154"/>
      <c r="C48" s="157"/>
      <c r="D48" s="157"/>
      <c r="E48" s="157"/>
      <c r="F48" s="72">
        <v>4</v>
      </c>
      <c r="G48" s="21">
        <v>3</v>
      </c>
      <c r="H48" s="22"/>
      <c r="I48" s="22"/>
      <c r="J48" s="21"/>
      <c r="K48" s="21"/>
      <c r="L48" s="154"/>
      <c r="M48" s="52"/>
      <c r="N48" s="148"/>
      <c r="O48" s="233"/>
    </row>
    <row r="49" spans="1:15" s="4" customFormat="1" ht="21" customHeight="1" x14ac:dyDescent="0.15">
      <c r="A49" s="160"/>
      <c r="B49" s="154"/>
      <c r="C49" s="157"/>
      <c r="D49" s="157"/>
      <c r="E49" s="157"/>
      <c r="F49" s="72">
        <v>4</v>
      </c>
      <c r="G49" s="21">
        <v>3</v>
      </c>
      <c r="H49" s="22"/>
      <c r="I49" s="22"/>
      <c r="J49" s="21"/>
      <c r="K49" s="21"/>
      <c r="L49" s="154"/>
      <c r="M49" s="52"/>
      <c r="N49" s="148"/>
      <c r="O49" s="233"/>
    </row>
    <row r="50" spans="1:15" s="4" customFormat="1" ht="21" customHeight="1" x14ac:dyDescent="0.15">
      <c r="A50" s="160"/>
      <c r="B50" s="154"/>
      <c r="C50" s="157"/>
      <c r="D50" s="157"/>
      <c r="E50" s="157"/>
      <c r="F50" s="72">
        <v>4</v>
      </c>
      <c r="G50" s="21">
        <v>3</v>
      </c>
      <c r="H50" s="22"/>
      <c r="I50" s="22"/>
      <c r="J50" s="21"/>
      <c r="K50" s="21"/>
      <c r="L50" s="154"/>
      <c r="M50" s="52"/>
      <c r="N50" s="148"/>
      <c r="O50" s="233"/>
    </row>
    <row r="51" spans="1:15" s="4" customFormat="1" ht="18" customHeight="1" x14ac:dyDescent="0.15">
      <c r="A51" s="160"/>
      <c r="B51" s="154"/>
      <c r="C51" s="157"/>
      <c r="D51" s="157"/>
      <c r="E51" s="157"/>
      <c r="F51" s="72">
        <v>4</v>
      </c>
      <c r="G51" s="21">
        <v>3</v>
      </c>
      <c r="H51" s="22"/>
      <c r="I51" s="22"/>
      <c r="J51" s="21"/>
      <c r="K51" s="21"/>
      <c r="L51" s="154"/>
      <c r="M51" s="52"/>
      <c r="N51" s="148"/>
      <c r="O51" s="233"/>
    </row>
    <row r="52" spans="1:15" s="4" customFormat="1" ht="15.75" customHeight="1" x14ac:dyDescent="0.15">
      <c r="A52" s="160"/>
      <c r="B52" s="154"/>
      <c r="C52" s="158"/>
      <c r="D52" s="158"/>
      <c r="E52" s="158"/>
      <c r="F52" s="38">
        <v>4</v>
      </c>
      <c r="G52" s="34">
        <v>3</v>
      </c>
      <c r="H52" s="35"/>
      <c r="I52" s="35"/>
      <c r="J52" s="34"/>
      <c r="K52" s="34"/>
      <c r="L52" s="155"/>
      <c r="M52" s="17"/>
      <c r="N52" s="146"/>
      <c r="O52" s="234"/>
    </row>
    <row r="53" spans="1:15" s="4" customFormat="1" ht="21" customHeight="1" x14ac:dyDescent="0.15">
      <c r="A53" s="160"/>
      <c r="B53" s="154"/>
      <c r="C53" s="156" t="s">
        <v>91</v>
      </c>
      <c r="D53" s="156" t="s">
        <v>95</v>
      </c>
      <c r="E53" s="156" t="s">
        <v>79</v>
      </c>
      <c r="F53" s="36">
        <v>4</v>
      </c>
      <c r="G53" s="24">
        <v>3</v>
      </c>
      <c r="H53" s="25"/>
      <c r="I53" s="25"/>
      <c r="J53" s="24"/>
      <c r="K53" s="24"/>
      <c r="L53" s="24"/>
      <c r="M53" s="192">
        <v>18</v>
      </c>
      <c r="N53" s="145">
        <f t="shared" si="1"/>
        <v>18</v>
      </c>
      <c r="O53" s="233" t="s">
        <v>93</v>
      </c>
    </row>
    <row r="54" spans="1:15" s="4" customFormat="1" ht="21" customHeight="1" x14ac:dyDescent="0.15">
      <c r="A54" s="160"/>
      <c r="B54" s="154"/>
      <c r="C54" s="157"/>
      <c r="D54" s="157"/>
      <c r="E54" s="157"/>
      <c r="F54" s="72">
        <v>4</v>
      </c>
      <c r="G54" s="21">
        <v>3</v>
      </c>
      <c r="H54" s="22"/>
      <c r="I54" s="22"/>
      <c r="J54" s="21"/>
      <c r="K54" s="21"/>
      <c r="L54" s="21"/>
      <c r="M54" s="193"/>
      <c r="N54" s="148"/>
      <c r="O54" s="233"/>
    </row>
    <row r="55" spans="1:15" s="4" customFormat="1" ht="21" customHeight="1" x14ac:dyDescent="0.15">
      <c r="A55" s="160"/>
      <c r="B55" s="154"/>
      <c r="C55" s="157"/>
      <c r="D55" s="157"/>
      <c r="E55" s="157"/>
      <c r="F55" s="72">
        <v>4</v>
      </c>
      <c r="G55" s="21">
        <v>3</v>
      </c>
      <c r="H55" s="22"/>
      <c r="I55" s="22"/>
      <c r="J55" s="21"/>
      <c r="K55" s="21"/>
      <c r="L55" s="21"/>
      <c r="M55" s="193"/>
      <c r="N55" s="148"/>
      <c r="O55" s="233"/>
    </row>
    <row r="56" spans="1:15" s="4" customFormat="1" ht="21" customHeight="1" x14ac:dyDescent="0.15">
      <c r="A56" s="160"/>
      <c r="B56" s="154"/>
      <c r="C56" s="157"/>
      <c r="D56" s="157"/>
      <c r="E56" s="157"/>
      <c r="F56" s="72">
        <v>4</v>
      </c>
      <c r="G56" s="21">
        <v>3</v>
      </c>
      <c r="H56" s="22"/>
      <c r="I56" s="22"/>
      <c r="J56" s="21"/>
      <c r="K56" s="21"/>
      <c r="L56" s="21"/>
      <c r="M56" s="193"/>
      <c r="N56" s="148"/>
      <c r="O56" s="233"/>
    </row>
    <row r="57" spans="1:15" s="4" customFormat="1" ht="21" customHeight="1" x14ac:dyDescent="0.15">
      <c r="A57" s="160"/>
      <c r="B57" s="154"/>
      <c r="C57" s="157"/>
      <c r="D57" s="157"/>
      <c r="E57" s="157"/>
      <c r="F57" s="38">
        <v>4</v>
      </c>
      <c r="G57" s="34">
        <v>3</v>
      </c>
      <c r="H57" s="35"/>
      <c r="I57" s="35"/>
      <c r="J57" s="34"/>
      <c r="K57" s="34"/>
      <c r="L57" s="34"/>
      <c r="M57" s="193"/>
      <c r="N57" s="148"/>
      <c r="O57" s="233"/>
    </row>
    <row r="58" spans="1:15" s="4" customFormat="1" ht="21" customHeight="1" x14ac:dyDescent="0.15">
      <c r="A58" s="160"/>
      <c r="B58" s="155"/>
      <c r="C58" s="158"/>
      <c r="D58" s="158"/>
      <c r="E58" s="158"/>
      <c r="F58" s="62">
        <v>4</v>
      </c>
      <c r="G58" s="62">
        <v>3</v>
      </c>
      <c r="H58" s="48"/>
      <c r="I58" s="48"/>
      <c r="J58" s="62"/>
      <c r="K58" s="62"/>
      <c r="L58" s="62"/>
      <c r="M58" s="194"/>
      <c r="N58" s="146"/>
      <c r="O58" s="234"/>
    </row>
    <row r="59" spans="1:15" s="4" customFormat="1" ht="21.75" customHeight="1" x14ac:dyDescent="0.15">
      <c r="A59" s="160"/>
      <c r="B59" s="192" t="s">
        <v>41</v>
      </c>
      <c r="C59" s="49" t="s">
        <v>74</v>
      </c>
      <c r="D59" s="49" t="s">
        <v>34</v>
      </c>
      <c r="E59" s="49" t="s">
        <v>88</v>
      </c>
      <c r="F59" s="24">
        <v>3</v>
      </c>
      <c r="G59" s="40">
        <v>2</v>
      </c>
      <c r="H59" s="25"/>
      <c r="I59" s="25"/>
      <c r="J59" s="24">
        <v>2</v>
      </c>
      <c r="K59" s="24"/>
      <c r="L59" s="24"/>
      <c r="M59" s="54"/>
      <c r="N59" s="145">
        <f>SUM(H59:M61)</f>
        <v>6</v>
      </c>
      <c r="O59" s="176">
        <f>SUM(N59:N61)</f>
        <v>6</v>
      </c>
    </row>
    <row r="60" spans="1:15" s="4" customFormat="1" ht="18" customHeight="1" x14ac:dyDescent="0.15">
      <c r="A60" s="160"/>
      <c r="B60" s="193"/>
      <c r="C60" s="50" t="s">
        <v>75</v>
      </c>
      <c r="D60" s="50" t="s">
        <v>34</v>
      </c>
      <c r="E60" s="50" t="s">
        <v>28</v>
      </c>
      <c r="F60" s="18">
        <v>3</v>
      </c>
      <c r="G60" s="41">
        <v>2</v>
      </c>
      <c r="H60" s="19"/>
      <c r="I60" s="19"/>
      <c r="J60" s="18"/>
      <c r="K60" s="18"/>
      <c r="L60" s="18">
        <v>2</v>
      </c>
      <c r="M60" s="53"/>
      <c r="N60" s="148"/>
      <c r="O60" s="177"/>
    </row>
    <row r="61" spans="1:15" s="4" customFormat="1" ht="19.5" customHeight="1" x14ac:dyDescent="0.15">
      <c r="A61" s="160"/>
      <c r="B61" s="194"/>
      <c r="C61" s="50" t="s">
        <v>76</v>
      </c>
      <c r="D61" s="50" t="s">
        <v>34</v>
      </c>
      <c r="E61" s="50" t="s">
        <v>69</v>
      </c>
      <c r="F61" s="18">
        <v>3</v>
      </c>
      <c r="G61" s="41">
        <v>2</v>
      </c>
      <c r="H61" s="19"/>
      <c r="I61" s="19"/>
      <c r="J61" s="18"/>
      <c r="K61" s="18"/>
      <c r="L61" s="18"/>
      <c r="M61" s="53">
        <v>2</v>
      </c>
      <c r="N61" s="146"/>
      <c r="O61" s="178"/>
    </row>
    <row r="62" spans="1:15" s="4" customFormat="1" ht="18" customHeight="1" x14ac:dyDescent="0.15">
      <c r="A62" s="160"/>
      <c r="B62" s="153" t="s">
        <v>14</v>
      </c>
      <c r="C62" s="164" t="s">
        <v>92</v>
      </c>
      <c r="D62" s="164" t="s">
        <v>35</v>
      </c>
      <c r="E62" s="164" t="s">
        <v>87</v>
      </c>
      <c r="F62" s="24">
        <v>3</v>
      </c>
      <c r="G62" s="40">
        <v>2</v>
      </c>
      <c r="H62" s="25"/>
      <c r="I62" s="25"/>
      <c r="J62" s="24"/>
      <c r="K62" s="24"/>
      <c r="L62" s="24">
        <v>2</v>
      </c>
      <c r="M62" s="54"/>
      <c r="N62" s="145">
        <f>SUM(H62:M63)</f>
        <v>4</v>
      </c>
      <c r="O62" s="176">
        <v>4</v>
      </c>
    </row>
    <row r="63" spans="1:15" s="4" customFormat="1" ht="18.75" customHeight="1" x14ac:dyDescent="0.15">
      <c r="A63" s="160"/>
      <c r="B63" s="155"/>
      <c r="C63" s="165"/>
      <c r="D63" s="165"/>
      <c r="E63" s="165"/>
      <c r="F63" s="30">
        <v>3</v>
      </c>
      <c r="G63" s="108">
        <v>2</v>
      </c>
      <c r="H63" s="31"/>
      <c r="I63" s="31"/>
      <c r="J63" s="30"/>
      <c r="K63" s="30"/>
      <c r="L63" s="30"/>
      <c r="M63" s="23">
        <v>2</v>
      </c>
      <c r="N63" s="146"/>
      <c r="O63" s="178"/>
    </row>
    <row r="64" spans="1:15" s="4" customFormat="1" ht="18.75" customHeight="1" x14ac:dyDescent="0.15">
      <c r="A64" s="207"/>
      <c r="B64" s="30" t="s">
        <v>73</v>
      </c>
      <c r="C64" s="129" t="s">
        <v>80</v>
      </c>
      <c r="D64" s="129" t="s">
        <v>34</v>
      </c>
      <c r="E64" s="129" t="s">
        <v>69</v>
      </c>
      <c r="F64" s="30">
        <v>4</v>
      </c>
      <c r="G64" s="112">
        <v>3</v>
      </c>
      <c r="H64" s="113"/>
      <c r="I64" s="113"/>
      <c r="J64" s="111"/>
      <c r="K64" s="111"/>
      <c r="L64" s="111"/>
      <c r="M64" s="114">
        <v>3</v>
      </c>
      <c r="N64" s="116">
        <f>SUM(J64:M64)</f>
        <v>3</v>
      </c>
      <c r="O64" s="115">
        <f>SUM(N64)</f>
        <v>3</v>
      </c>
    </row>
    <row r="65" spans="1:15" s="4" customFormat="1" ht="18.75" customHeight="1" x14ac:dyDescent="0.15">
      <c r="A65" s="236" t="s">
        <v>23</v>
      </c>
      <c r="B65" s="236"/>
      <c r="C65" s="236"/>
      <c r="D65" s="236"/>
      <c r="E65" s="236"/>
      <c r="F65" s="236"/>
      <c r="G65" s="84">
        <f>SUM(G40:G64)</f>
        <v>73</v>
      </c>
      <c r="H65" s="85">
        <f t="shared" ref="H65:M65" si="2">SUM(H6:H38,H40:H64)</f>
        <v>30</v>
      </c>
      <c r="I65" s="85">
        <f t="shared" si="2"/>
        <v>30</v>
      </c>
      <c r="J65" s="86">
        <f t="shared" si="2"/>
        <v>30</v>
      </c>
      <c r="K65" s="86">
        <f t="shared" si="2"/>
        <v>30</v>
      </c>
      <c r="L65" s="86">
        <f t="shared" si="2"/>
        <v>27</v>
      </c>
      <c r="M65" s="86">
        <f t="shared" si="2"/>
        <v>27</v>
      </c>
      <c r="N65" s="87">
        <f>SUM(H65:M65)</f>
        <v>174</v>
      </c>
      <c r="O65" s="88"/>
    </row>
    <row r="66" spans="1:15" s="4" customFormat="1" ht="18.75" customHeight="1" x14ac:dyDescent="0.15">
      <c r="A66" s="184" t="s">
        <v>105</v>
      </c>
      <c r="B66" s="185"/>
      <c r="C66" s="185"/>
      <c r="D66" s="185"/>
      <c r="E66" s="185"/>
      <c r="F66" s="185"/>
      <c r="G66" s="185"/>
      <c r="H66" s="13">
        <v>3</v>
      </c>
      <c r="I66" s="13">
        <v>3</v>
      </c>
      <c r="J66" s="42">
        <v>3</v>
      </c>
      <c r="K66" s="42">
        <v>3</v>
      </c>
      <c r="L66" s="42">
        <v>3</v>
      </c>
      <c r="M66" s="65">
        <v>3</v>
      </c>
      <c r="N66" s="66">
        <f>SUM(H66:M66)</f>
        <v>18</v>
      </c>
      <c r="O66" s="67"/>
    </row>
    <row r="67" spans="1:15" s="4" customFormat="1" ht="18.75" customHeight="1" x14ac:dyDescent="0.15">
      <c r="A67" s="184" t="s">
        <v>21</v>
      </c>
      <c r="B67" s="185"/>
      <c r="C67" s="185"/>
      <c r="D67" s="185"/>
      <c r="E67" s="185"/>
      <c r="F67" s="185"/>
      <c r="G67" s="185"/>
      <c r="H67" s="13">
        <f>SUM(H65:H66)</f>
        <v>33</v>
      </c>
      <c r="I67" s="13">
        <f t="shared" ref="I67:M67" si="3">SUM(I65:I66)</f>
        <v>33</v>
      </c>
      <c r="J67" s="42">
        <f t="shared" si="3"/>
        <v>33</v>
      </c>
      <c r="K67" s="42">
        <f t="shared" si="3"/>
        <v>33</v>
      </c>
      <c r="L67" s="42">
        <f t="shared" si="3"/>
        <v>30</v>
      </c>
      <c r="M67" s="65">
        <f t="shared" si="3"/>
        <v>30</v>
      </c>
      <c r="N67" s="66">
        <f>SUM(H67:M67)</f>
        <v>192</v>
      </c>
      <c r="O67" s="67"/>
    </row>
    <row r="68" spans="1:15" s="4" customFormat="1" ht="18.75" customHeight="1" thickBot="1" x14ac:dyDescent="0.2">
      <c r="A68" s="186" t="s">
        <v>22</v>
      </c>
      <c r="B68" s="187"/>
      <c r="C68" s="187"/>
      <c r="D68" s="187"/>
      <c r="E68" s="187"/>
      <c r="F68" s="187"/>
      <c r="G68" s="187"/>
      <c r="H68" s="188">
        <f>SUM(H67:I67)</f>
        <v>66</v>
      </c>
      <c r="I68" s="188"/>
      <c r="J68" s="182">
        <f t="shared" ref="J68" si="4">SUM(J67:K67)</f>
        <v>66</v>
      </c>
      <c r="K68" s="182"/>
      <c r="L68" s="182">
        <f t="shared" ref="L68" si="5">SUM(L67:M67)</f>
        <v>60</v>
      </c>
      <c r="M68" s="183"/>
      <c r="N68" s="68">
        <f>SUM(H68:M68)</f>
        <v>192</v>
      </c>
      <c r="O68" s="69"/>
    </row>
    <row r="69" spans="1:15" s="4" customFormat="1" ht="18.75" customHeight="1" x14ac:dyDescent="0.15">
      <c r="A69" s="239" t="s">
        <v>106</v>
      </c>
      <c r="B69" s="130" t="s">
        <v>14</v>
      </c>
      <c r="C69" s="130" t="s">
        <v>102</v>
      </c>
      <c r="D69" s="130" t="s">
        <v>109</v>
      </c>
      <c r="E69" s="130" t="s">
        <v>14</v>
      </c>
      <c r="F69" s="130">
        <v>3</v>
      </c>
      <c r="G69" s="130">
        <v>2</v>
      </c>
      <c r="H69" s="131">
        <v>2</v>
      </c>
      <c r="I69" s="131"/>
      <c r="J69" s="131"/>
      <c r="K69" s="131"/>
      <c r="L69" s="131"/>
      <c r="M69" s="132"/>
      <c r="N69" s="133">
        <v>2</v>
      </c>
      <c r="O69" s="134"/>
    </row>
    <row r="70" spans="1:15" s="4" customFormat="1" ht="18.75" customHeight="1" x14ac:dyDescent="0.15">
      <c r="A70" s="240"/>
      <c r="B70" s="117" t="s">
        <v>14</v>
      </c>
      <c r="C70" s="118" t="s">
        <v>108</v>
      </c>
      <c r="D70" s="118" t="s">
        <v>99</v>
      </c>
      <c r="E70" s="118" t="s">
        <v>14</v>
      </c>
      <c r="F70" s="117">
        <v>3</v>
      </c>
      <c r="G70" s="119">
        <v>2</v>
      </c>
      <c r="H70" s="117"/>
      <c r="I70" s="117">
        <v>2</v>
      </c>
      <c r="J70" s="117"/>
      <c r="K70" s="117"/>
      <c r="L70" s="117"/>
      <c r="M70" s="120"/>
      <c r="N70" s="121">
        <v>2</v>
      </c>
      <c r="O70" s="122"/>
    </row>
    <row r="71" spans="1:15" s="4" customFormat="1" ht="18.75" customHeight="1" x14ac:dyDescent="0.15">
      <c r="A71" s="240"/>
      <c r="B71" s="117" t="s">
        <v>97</v>
      </c>
      <c r="C71" s="118" t="s">
        <v>101</v>
      </c>
      <c r="D71" s="118" t="s">
        <v>99</v>
      </c>
      <c r="E71" s="118" t="s">
        <v>97</v>
      </c>
      <c r="F71" s="117">
        <v>3</v>
      </c>
      <c r="G71" s="119">
        <v>2</v>
      </c>
      <c r="H71" s="117"/>
      <c r="I71" s="117"/>
      <c r="J71" s="117">
        <v>2</v>
      </c>
      <c r="K71" s="117"/>
      <c r="L71" s="117"/>
      <c r="M71" s="120"/>
      <c r="N71" s="121">
        <v>2</v>
      </c>
      <c r="O71" s="122"/>
    </row>
    <row r="72" spans="1:15" s="4" customFormat="1" ht="18.75" customHeight="1" x14ac:dyDescent="0.15">
      <c r="A72" s="240"/>
      <c r="B72" s="117" t="s">
        <v>98</v>
      </c>
      <c r="C72" s="118" t="s">
        <v>103</v>
      </c>
      <c r="D72" s="118" t="s">
        <v>99</v>
      </c>
      <c r="E72" s="118" t="s">
        <v>100</v>
      </c>
      <c r="F72" s="117">
        <v>4</v>
      </c>
      <c r="G72" s="119">
        <v>2</v>
      </c>
      <c r="H72" s="117"/>
      <c r="I72" s="117"/>
      <c r="J72" s="117"/>
      <c r="K72" s="117">
        <v>2</v>
      </c>
      <c r="L72" s="117"/>
      <c r="M72" s="120"/>
      <c r="N72" s="121">
        <v>2</v>
      </c>
      <c r="O72" s="122"/>
    </row>
    <row r="73" spans="1:15" s="4" customFormat="1" ht="20.25" customHeight="1" thickBot="1" x14ac:dyDescent="0.2">
      <c r="A73" s="241"/>
      <c r="B73" s="124" t="s">
        <v>98</v>
      </c>
      <c r="C73" s="124" t="s">
        <v>104</v>
      </c>
      <c r="D73" s="125" t="s">
        <v>99</v>
      </c>
      <c r="E73" s="123" t="s">
        <v>100</v>
      </c>
      <c r="F73" s="124">
        <v>4</v>
      </c>
      <c r="G73" s="124">
        <v>2</v>
      </c>
      <c r="H73" s="125"/>
      <c r="I73" s="125"/>
      <c r="J73" s="125"/>
      <c r="K73" s="125"/>
      <c r="L73" s="124">
        <v>2</v>
      </c>
      <c r="M73" s="126"/>
      <c r="N73" s="127">
        <v>2</v>
      </c>
      <c r="O73" s="128"/>
    </row>
    <row r="74" spans="1:15" hidden="1" x14ac:dyDescent="0.15">
      <c r="A74" s="181" t="s">
        <v>40</v>
      </c>
      <c r="B74" s="181"/>
      <c r="C74" s="11"/>
      <c r="D74" s="11"/>
      <c r="E74" s="11"/>
      <c r="F74" s="11"/>
      <c r="G74" s="11"/>
      <c r="H74" s="10">
        <v>10</v>
      </c>
      <c r="I74" s="10">
        <v>10</v>
      </c>
      <c r="J74" s="10">
        <v>9</v>
      </c>
      <c r="K74" s="10">
        <v>9</v>
      </c>
      <c r="L74" s="10">
        <v>8</v>
      </c>
      <c r="M74" s="10">
        <v>8</v>
      </c>
      <c r="N74" s="11"/>
      <c r="O74" s="11"/>
    </row>
    <row r="75" spans="1:15" ht="21.75" customHeight="1" x14ac:dyDescent="0.15">
      <c r="A75" s="242" t="s">
        <v>107</v>
      </c>
      <c r="B75" s="243"/>
      <c r="C75" s="246" t="s">
        <v>23</v>
      </c>
      <c r="D75" s="246"/>
      <c r="E75" s="246"/>
      <c r="F75" s="247"/>
      <c r="G75" s="135">
        <f>G65+G69+G70+G71+G72+G73</f>
        <v>83</v>
      </c>
      <c r="H75" s="136">
        <f>H65+H69+H70+H71+H72+H73</f>
        <v>32</v>
      </c>
      <c r="I75" s="136">
        <f t="shared" ref="I75:N75" si="6">I65+I69+I70+I71+I72+I73</f>
        <v>32</v>
      </c>
      <c r="J75" s="136">
        <f t="shared" si="6"/>
        <v>32</v>
      </c>
      <c r="K75" s="136">
        <f t="shared" si="6"/>
        <v>32</v>
      </c>
      <c r="L75" s="136">
        <f t="shared" si="6"/>
        <v>29</v>
      </c>
      <c r="M75" s="137">
        <f t="shared" si="6"/>
        <v>27</v>
      </c>
      <c r="N75" s="138">
        <f t="shared" si="6"/>
        <v>184</v>
      </c>
      <c r="O75" s="139"/>
    </row>
    <row r="76" spans="1:15" ht="21.75" customHeight="1" x14ac:dyDescent="0.15">
      <c r="A76" s="242"/>
      <c r="B76" s="243"/>
      <c r="C76" s="248" t="s">
        <v>105</v>
      </c>
      <c r="D76" s="249"/>
      <c r="E76" s="249"/>
      <c r="F76" s="249"/>
      <c r="G76" s="250"/>
      <c r="H76" s="141">
        <v>3</v>
      </c>
      <c r="I76" s="141">
        <v>3</v>
      </c>
      <c r="J76" s="141">
        <v>3</v>
      </c>
      <c r="K76" s="141">
        <v>3</v>
      </c>
      <c r="L76" s="141">
        <v>3</v>
      </c>
      <c r="M76" s="140">
        <v>3</v>
      </c>
      <c r="N76" s="142">
        <f>SUM(H76:M76)</f>
        <v>18</v>
      </c>
      <c r="O76" s="121"/>
    </row>
    <row r="77" spans="1:15" ht="21.75" customHeight="1" x14ac:dyDescent="0.15">
      <c r="A77" s="242"/>
      <c r="B77" s="243"/>
      <c r="C77" s="248" t="s">
        <v>21</v>
      </c>
      <c r="D77" s="249"/>
      <c r="E77" s="249"/>
      <c r="F77" s="249"/>
      <c r="G77" s="250"/>
      <c r="H77" s="141">
        <f>SUM(H75:H76)</f>
        <v>35</v>
      </c>
      <c r="I77" s="141">
        <f t="shared" ref="I77:M77" si="7">SUM(I75:I76)</f>
        <v>35</v>
      </c>
      <c r="J77" s="141">
        <f t="shared" si="7"/>
        <v>35</v>
      </c>
      <c r="K77" s="141">
        <f t="shared" si="7"/>
        <v>35</v>
      </c>
      <c r="L77" s="141">
        <f t="shared" si="7"/>
        <v>32</v>
      </c>
      <c r="M77" s="140">
        <f t="shared" si="7"/>
        <v>30</v>
      </c>
      <c r="N77" s="142">
        <f>SUM(H77:M77)</f>
        <v>202</v>
      </c>
      <c r="O77" s="121"/>
    </row>
    <row r="78" spans="1:15" ht="21.75" customHeight="1" thickBot="1" x14ac:dyDescent="0.2">
      <c r="A78" s="244"/>
      <c r="B78" s="245"/>
      <c r="C78" s="251" t="s">
        <v>22</v>
      </c>
      <c r="D78" s="252"/>
      <c r="E78" s="252"/>
      <c r="F78" s="252"/>
      <c r="G78" s="253"/>
      <c r="H78" s="237">
        <f>SUM(H77:I77)</f>
        <v>70</v>
      </c>
      <c r="I78" s="237"/>
      <c r="J78" s="237">
        <f t="shared" ref="J78" si="8">SUM(J77:K77)</f>
        <v>70</v>
      </c>
      <c r="K78" s="237"/>
      <c r="L78" s="237">
        <f t="shared" ref="L78" si="9">SUM(L77:M77)</f>
        <v>62</v>
      </c>
      <c r="M78" s="238"/>
      <c r="N78" s="143">
        <f>SUM(H78:M78)</f>
        <v>202</v>
      </c>
      <c r="O78" s="144"/>
    </row>
  </sheetData>
  <mergeCells count="100">
    <mergeCell ref="L78:M78"/>
    <mergeCell ref="A69:A73"/>
    <mergeCell ref="L68:M68"/>
    <mergeCell ref="A74:B74"/>
    <mergeCell ref="A75:B78"/>
    <mergeCell ref="C75:F75"/>
    <mergeCell ref="C76:G76"/>
    <mergeCell ref="C77:G77"/>
    <mergeCell ref="C78:G78"/>
    <mergeCell ref="H78:I78"/>
    <mergeCell ref="J78:K78"/>
    <mergeCell ref="J68:K68"/>
    <mergeCell ref="A65:F65"/>
    <mergeCell ref="A66:G66"/>
    <mergeCell ref="A67:G67"/>
    <mergeCell ref="A68:G68"/>
    <mergeCell ref="H68:I68"/>
    <mergeCell ref="O59:O61"/>
    <mergeCell ref="B62:B63"/>
    <mergeCell ref="C62:C63"/>
    <mergeCell ref="D62:D63"/>
    <mergeCell ref="E62:E63"/>
    <mergeCell ref="O62:O63"/>
    <mergeCell ref="N59:N61"/>
    <mergeCell ref="N62:N63"/>
    <mergeCell ref="L46:L52"/>
    <mergeCell ref="N46:N52"/>
    <mergeCell ref="O46:O52"/>
    <mergeCell ref="C53:C58"/>
    <mergeCell ref="D53:D58"/>
    <mergeCell ref="E53:E58"/>
    <mergeCell ref="M53:M58"/>
    <mergeCell ref="N53:N58"/>
    <mergeCell ref="O53:O58"/>
    <mergeCell ref="J40:J42"/>
    <mergeCell ref="N40:N42"/>
    <mergeCell ref="O40:O45"/>
    <mergeCell ref="C43:C45"/>
    <mergeCell ref="D43:D45"/>
    <mergeCell ref="E43:E45"/>
    <mergeCell ref="K43:K45"/>
    <mergeCell ref="N43:N45"/>
    <mergeCell ref="B39:F39"/>
    <mergeCell ref="A40:A64"/>
    <mergeCell ref="B40:B45"/>
    <mergeCell ref="C40:C42"/>
    <mergeCell ref="D40:D42"/>
    <mergeCell ref="E40:E42"/>
    <mergeCell ref="B46:B58"/>
    <mergeCell ref="C46:C52"/>
    <mergeCell ref="D46:D52"/>
    <mergeCell ref="E46:E52"/>
    <mergeCell ref="B59:B61"/>
    <mergeCell ref="A6:A39"/>
    <mergeCell ref="B6:B10"/>
    <mergeCell ref="B16:B19"/>
    <mergeCell ref="O24:O27"/>
    <mergeCell ref="B34:B35"/>
    <mergeCell ref="N34:N35"/>
    <mergeCell ref="O34:O35"/>
    <mergeCell ref="B36:B37"/>
    <mergeCell ref="N36:N38"/>
    <mergeCell ref="O36:O38"/>
    <mergeCell ref="N28:N33"/>
    <mergeCell ref="O28:O33"/>
    <mergeCell ref="B24:B27"/>
    <mergeCell ref="N24:N27"/>
    <mergeCell ref="N6:N10"/>
    <mergeCell ref="O6:O10"/>
    <mergeCell ref="B11:B15"/>
    <mergeCell ref="N11:N15"/>
    <mergeCell ref="O11:O15"/>
    <mergeCell ref="N16:N19"/>
    <mergeCell ref="O16:O19"/>
    <mergeCell ref="B20:B23"/>
    <mergeCell ref="O20:O21"/>
    <mergeCell ref="O22:O23"/>
    <mergeCell ref="N20:N21"/>
    <mergeCell ref="N22:N23"/>
    <mergeCell ref="J4:J5"/>
    <mergeCell ref="K4:K5"/>
    <mergeCell ref="L4:L5"/>
    <mergeCell ref="M4:M5"/>
    <mergeCell ref="B28:B33"/>
    <mergeCell ref="A1:O1"/>
    <mergeCell ref="J2:O2"/>
    <mergeCell ref="A3:A5"/>
    <mergeCell ref="B3:B5"/>
    <mergeCell ref="C3:C5"/>
    <mergeCell ref="D3:D5"/>
    <mergeCell ref="E3:E5"/>
    <mergeCell ref="F3:F5"/>
    <mergeCell ref="G3:G5"/>
    <mergeCell ref="H3:I3"/>
    <mergeCell ref="J3:K3"/>
    <mergeCell ref="L3:M3"/>
    <mergeCell ref="N3:N5"/>
    <mergeCell ref="O3:O5"/>
    <mergeCell ref="H4:H5"/>
    <mergeCell ref="I4:I5"/>
  </mergeCells>
  <phoneticPr fontId="4" type="noConversion"/>
  <pageMargins left="0.51181102362204722" right="0.51181102362204722" top="0.35433070866141736" bottom="0.35433070866141736" header="0.31496062992125984" footer="0.31496062992125984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2026 입학생 3개년 교육과정 편성표(기본)</vt:lpstr>
      <vt:lpstr>2026 입학생 3개년 교육과정 편성표(심화)</vt:lpstr>
      <vt:lpstr>'2026 입학생 3개년 교육과정 편성표(기본)'!Print_Area</vt:lpstr>
      <vt:lpstr>'2026 입학생 3개년 교육과정 편성표(심화)'!Print_Area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김종문</cp:lastModifiedBy>
  <cp:revision>6</cp:revision>
  <cp:lastPrinted>2025-06-18T00:59:23Z</cp:lastPrinted>
  <dcterms:created xsi:type="dcterms:W3CDTF">2002-10-10T04:04:10Z</dcterms:created>
  <dcterms:modified xsi:type="dcterms:W3CDTF">2025-10-20T01:52:51Z</dcterms:modified>
  <cp:version>0906.0100.01</cp:version>
</cp:coreProperties>
</file>