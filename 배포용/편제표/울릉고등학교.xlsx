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교육과정 기획\25년 교육과정 편성\확정\[최종]교육과정 지원포털 탑재\"/>
    </mc:Choice>
  </mc:AlternateContent>
  <xr:revisionPtr revIDLastSave="0" documentId="13_ncr:1_{0B0241F6-6CBA-4F79-BFEF-86DEE7CC80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 입학생 보통과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22" l="1"/>
  <c r="N6" i="22" l="1"/>
  <c r="N18" i="22"/>
  <c r="M50" i="22"/>
  <c r="L50" i="22"/>
  <c r="K50" i="22"/>
  <c r="J50" i="22"/>
  <c r="I50" i="22"/>
  <c r="H50" i="22"/>
  <c r="N45" i="22"/>
  <c r="N12" i="22"/>
  <c r="N26" i="22"/>
  <c r="M63" i="22" l="1"/>
  <c r="J63" i="22"/>
  <c r="N61" i="22"/>
  <c r="N59" i="22"/>
  <c r="N57" i="22"/>
  <c r="N55" i="22"/>
  <c r="N51" i="22"/>
  <c r="L63" i="22"/>
  <c r="K63" i="22"/>
  <c r="I63" i="22"/>
  <c r="H63" i="22"/>
  <c r="N43" i="22"/>
  <c r="N37" i="22"/>
  <c r="N32" i="22"/>
  <c r="N24" i="22"/>
  <c r="N50" i="22" l="1"/>
  <c r="N63" i="22" s="1"/>
</calcChain>
</file>

<file path=xl/sharedStrings.xml><?xml version="1.0" encoding="utf-8"?>
<sst xmlns="http://schemas.openxmlformats.org/spreadsheetml/2006/main" count="166" uniqueCount="102">
  <si>
    <t>1학기</t>
  </si>
  <si>
    <t>공통</t>
    <phoneticPr fontId="9" type="noConversion"/>
  </si>
  <si>
    <t>일반</t>
    <phoneticPr fontId="9" type="noConversion"/>
  </si>
  <si>
    <t>미술</t>
    <phoneticPr fontId="9" type="noConversion"/>
  </si>
  <si>
    <t>음악</t>
    <phoneticPr fontId="9" type="noConversion"/>
  </si>
  <si>
    <t>울릉고등학교</t>
  </si>
  <si>
    <t>구분</t>
  </si>
  <si>
    <t>교과(군)</t>
  </si>
  <si>
    <t>선택</t>
  </si>
  <si>
    <t>과목유형</t>
  </si>
  <si>
    <t>2학기</t>
  </si>
  <si>
    <t>학교지정</t>
  </si>
  <si>
    <t>국 어</t>
  </si>
  <si>
    <t>공통</t>
  </si>
  <si>
    <t>일반</t>
  </si>
  <si>
    <t>수 학</t>
  </si>
  <si>
    <t>영 어</t>
  </si>
  <si>
    <t>과 학</t>
  </si>
  <si>
    <t>체 육</t>
  </si>
  <si>
    <t>예 술</t>
  </si>
  <si>
    <t>창의적 체험활동</t>
  </si>
  <si>
    <t>학기당 과목수</t>
  </si>
  <si>
    <t>학기별 총 이수 학점</t>
    <phoneticPr fontId="9" type="noConversion"/>
  </si>
  <si>
    <t>학년별 총 이수학점</t>
    <phoneticPr fontId="9" type="noConversion"/>
  </si>
  <si>
    <t>이수
학점</t>
    <phoneticPr fontId="9" type="noConversion"/>
  </si>
  <si>
    <t>필수
학점</t>
    <phoneticPr fontId="9" type="noConversion"/>
  </si>
  <si>
    <t>교과 이수학점 소계</t>
    <phoneticPr fontId="9" type="noConversion"/>
  </si>
  <si>
    <t>세 부
과 목</t>
    <phoneticPr fontId="9" type="noConversion"/>
  </si>
  <si>
    <t>공통국어1</t>
    <phoneticPr fontId="9" type="noConversion"/>
  </si>
  <si>
    <t>공통국어2</t>
    <phoneticPr fontId="9" type="noConversion"/>
  </si>
  <si>
    <t>문학</t>
    <phoneticPr fontId="9" type="noConversion"/>
  </si>
  <si>
    <t>독서와 작문</t>
    <phoneticPr fontId="9" type="noConversion"/>
  </si>
  <si>
    <t>화법과 언어</t>
    <phoneticPr fontId="9" type="noConversion"/>
  </si>
  <si>
    <t>공통수학1</t>
    <phoneticPr fontId="9" type="noConversion"/>
  </si>
  <si>
    <t>공통수학2</t>
    <phoneticPr fontId="9" type="noConversion"/>
  </si>
  <si>
    <t>대수</t>
    <phoneticPr fontId="9" type="noConversion"/>
  </si>
  <si>
    <t>미적분Ⅰ</t>
    <phoneticPr fontId="9" type="noConversion"/>
  </si>
  <si>
    <t>공통영어1</t>
    <phoneticPr fontId="18" type="noConversion"/>
  </si>
  <si>
    <t>공통영어2</t>
    <phoneticPr fontId="9" type="noConversion"/>
  </si>
  <si>
    <t>영어Ⅰ</t>
    <phoneticPr fontId="9" type="noConversion"/>
  </si>
  <si>
    <t>영어Ⅱ</t>
    <phoneticPr fontId="9" type="noConversion"/>
  </si>
  <si>
    <t>사 회
(역사/도덕 포함)</t>
    <phoneticPr fontId="9" type="noConversion"/>
  </si>
  <si>
    <t>한국사1</t>
    <phoneticPr fontId="9" type="noConversion"/>
  </si>
  <si>
    <t>한국사2</t>
    <phoneticPr fontId="9" type="noConversion"/>
  </si>
  <si>
    <t>통합사회1</t>
    <phoneticPr fontId="9" type="noConversion"/>
  </si>
  <si>
    <t>통합사회2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</si>
  <si>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</si>
  <si>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</si>
  <si>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</si>
  <si>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</si>
  <si>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스포츠문화</t>
    <phoneticPr fontId="9" type="noConversion"/>
  </si>
  <si>
    <t>진로</t>
    <phoneticPr fontId="9" type="noConversion"/>
  </si>
  <si>
    <t>체육1</t>
    <phoneticPr fontId="9" type="noConversion"/>
  </si>
  <si>
    <t>스포츠과학</t>
    <phoneticPr fontId="9" type="noConversion"/>
  </si>
  <si>
    <t>체육2</t>
    <phoneticPr fontId="9" type="noConversion"/>
  </si>
  <si>
    <t>스포츠생활1</t>
    <phoneticPr fontId="9" type="noConversion"/>
  </si>
  <si>
    <t>융합</t>
    <phoneticPr fontId="9" type="noConversion"/>
  </si>
  <si>
    <t>스포츠생활2</t>
    <phoneticPr fontId="9" type="noConversion"/>
  </si>
  <si>
    <t>학교 지정 교과 이수 학점 소계</t>
    <phoneticPr fontId="9" type="noConversion"/>
  </si>
  <si>
    <t>정보</t>
    <phoneticPr fontId="9" type="noConversion"/>
  </si>
  <si>
    <t>택1</t>
    <phoneticPr fontId="9" type="noConversion"/>
  </si>
  <si>
    <t>학교유형: 일반고(자공고2.0)</t>
    <phoneticPr fontId="18" type="noConversion"/>
  </si>
  <si>
    <t>기본학점</t>
    <phoneticPr fontId="9" type="noConversion"/>
  </si>
  <si>
    <t>편성학점</t>
    <phoneticPr fontId="9" type="noConversion"/>
  </si>
  <si>
    <t>영어 독해와 작문</t>
    <phoneticPr fontId="9" type="noConversion"/>
  </si>
  <si>
    <t>물리학</t>
    <phoneticPr fontId="9" type="noConversion"/>
  </si>
  <si>
    <t>생명과학</t>
    <phoneticPr fontId="9" type="noConversion"/>
  </si>
  <si>
    <t>기술가정/정보/제2외국어/한문/교양</t>
    <phoneticPr fontId="9" type="noConversion"/>
  </si>
  <si>
    <t>인공지능 수학</t>
    <phoneticPr fontId="9" type="noConversion"/>
  </si>
  <si>
    <t>동아시아 역사 기행</t>
    <phoneticPr fontId="9" type="noConversion"/>
  </si>
  <si>
    <t>데이터 과학</t>
    <phoneticPr fontId="9" type="noConversion"/>
  </si>
  <si>
    <t>세계사</t>
    <phoneticPr fontId="9" type="noConversion"/>
  </si>
  <si>
    <t>법과 사회</t>
    <phoneticPr fontId="9" type="noConversion"/>
  </si>
  <si>
    <t>인공지능 기초</t>
    <phoneticPr fontId="9" type="noConversion"/>
  </si>
  <si>
    <t>확률과 통계</t>
    <phoneticPr fontId="9" type="noConversion"/>
  </si>
  <si>
    <t>역사로 탐구하는 현대 세계</t>
    <phoneticPr fontId="9" type="noConversion"/>
  </si>
  <si>
    <t>소프트웨어와 생활</t>
    <phoneticPr fontId="9" type="noConversion"/>
  </si>
  <si>
    <t>보건</t>
    <phoneticPr fontId="9" type="noConversion"/>
  </si>
  <si>
    <t>진로와 직업</t>
    <phoneticPr fontId="9" type="noConversion"/>
  </si>
  <si>
    <t>진로</t>
  </si>
  <si>
    <t>논술</t>
    <phoneticPr fontId="9" type="noConversion"/>
  </si>
  <si>
    <t>영미 문학 읽기</t>
    <phoneticPr fontId="9" type="noConversion"/>
  </si>
  <si>
    <t>주제 탐구 독서</t>
    <phoneticPr fontId="9" type="noConversion"/>
  </si>
  <si>
    <t>사회와 문화</t>
    <phoneticPr fontId="9" type="noConversion"/>
  </si>
  <si>
    <t>교육의 이해</t>
    <phoneticPr fontId="9" type="noConversion"/>
  </si>
  <si>
    <t>생태와 환경</t>
    <phoneticPr fontId="9" type="noConversion"/>
  </si>
  <si>
    <t>사 회</t>
  </si>
  <si>
    <t>사 회</t>
    <phoneticPr fontId="9" type="noConversion"/>
  </si>
  <si>
    <t>교 양</t>
    <phoneticPr fontId="9" type="noConversion"/>
  </si>
  <si>
    <t>사회 문제 탐구</t>
    <phoneticPr fontId="9" type="noConversion"/>
  </si>
  <si>
    <t>1학년(2026년)</t>
    <phoneticPr fontId="18" type="noConversion"/>
  </si>
  <si>
    <t>2학년(2027년)</t>
    <phoneticPr fontId="18" type="noConversion"/>
  </si>
  <si>
    <t>3학년(2028년)</t>
    <phoneticPr fontId="18" type="noConversion"/>
  </si>
  <si>
    <t>미적분Ⅱ</t>
    <phoneticPr fontId="9" type="noConversion"/>
  </si>
  <si>
    <t>수 학</t>
    <phoneticPr fontId="9" type="noConversion"/>
  </si>
  <si>
    <t>영 어</t>
    <phoneticPr fontId="9" type="noConversion"/>
  </si>
  <si>
    <t>경제수학</t>
    <phoneticPr fontId="9" type="noConversion"/>
  </si>
  <si>
    <t>직무 영어</t>
    <phoneticPr fontId="9" type="noConversion"/>
  </si>
  <si>
    <t>과 학</t>
    <phoneticPr fontId="9" type="noConversion"/>
  </si>
  <si>
    <t>금융과 경제생활</t>
    <phoneticPr fontId="9" type="noConversion"/>
  </si>
  <si>
    <t>역학과 에너지</t>
    <phoneticPr fontId="9" type="noConversion"/>
  </si>
  <si>
    <t>2026학년도 입학생 3개년 교육과정 편성표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</si>
</sst>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EE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 tint="0.34998626667073579"/>
      </top>
      <bottom style="double">
        <color indexed="64"/>
      </bottom>
      <diagonal/>
    </border>
    <border>
      <left style="thin">
        <color theme="0" tint="-0.24994659260841701"/>
      </left>
      <right style="hair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hair">
        <color indexed="64"/>
      </right>
      <top/>
      <bottom/>
      <diagonal/>
    </border>
    <border>
      <left style="thin">
        <color theme="0" tint="-0.24994659260841701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theme="0" tint="-0.24994659260841701"/>
      </right>
      <top/>
      <bottom/>
      <diagonal/>
    </border>
    <border>
      <left style="hair">
        <color indexed="64"/>
      </left>
      <right style="thin">
        <color theme="0" tint="-0.24994659260841701"/>
      </right>
      <top/>
      <bottom style="double">
        <color indexed="64"/>
      </bottom>
      <diagonal/>
    </border>
  </borders>
  <cellStyleXfs count="18">
    <xf numFmtId="0" fontId="0" fillId="0" borderId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0">
      <alignment vertical="center"/>
    </xf>
    <xf numFmtId="0" fontId="10" fillId="2" borderId="2" applyNumberFormat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4" borderId="2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3">
    <xf numFmtId="0" fontId="0" fillId="0" borderId="0" xfId="0">
      <alignment vertical="center"/>
    </xf>
    <xf numFmtId="0" fontId="19" fillId="0" borderId="33" xfId="16" applyFont="1" applyBorder="1" applyAlignment="1"/>
    <xf numFmtId="0" fontId="11" fillId="0" borderId="33" xfId="16" applyFont="1" applyBorder="1" applyAlignment="1"/>
    <xf numFmtId="0" fontId="20" fillId="0" borderId="33" xfId="16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3" xfId="16" applyFont="1" applyFill="1" applyBorder="1" applyAlignment="1"/>
    <xf numFmtId="0" fontId="0" fillId="0" borderId="0" xfId="0" applyFill="1">
      <alignment vertical="center"/>
    </xf>
    <xf numFmtId="0" fontId="19" fillId="0" borderId="33" xfId="16" applyFont="1" applyBorder="1" applyAlignment="1">
      <alignment horizontal="center"/>
    </xf>
    <xf numFmtId="0" fontId="11" fillId="0" borderId="33" xfId="16" applyFont="1" applyBorder="1" applyAlignment="1">
      <alignment horizontal="center"/>
    </xf>
    <xf numFmtId="0" fontId="19" fillId="0" borderId="25" xfId="16" applyFont="1" applyBorder="1" applyAlignment="1"/>
    <xf numFmtId="0" fontId="22" fillId="0" borderId="9" xfId="16" applyFont="1" applyBorder="1" applyAlignment="1">
      <alignment horizontal="center" vertical="center"/>
    </xf>
    <xf numFmtId="0" fontId="22" fillId="6" borderId="9" xfId="16" applyFont="1" applyFill="1" applyBorder="1" applyAlignment="1">
      <alignment horizontal="center" vertical="center"/>
    </xf>
    <xf numFmtId="0" fontId="22" fillId="0" borderId="9" xfId="16" applyFont="1" applyFill="1" applyBorder="1" applyAlignment="1">
      <alignment horizontal="center" vertical="center"/>
    </xf>
    <xf numFmtId="0" fontId="22" fillId="0" borderId="31" xfId="16" applyFont="1" applyBorder="1" applyAlignment="1">
      <alignment horizontal="center" vertical="center"/>
    </xf>
    <xf numFmtId="0" fontId="22" fillId="6" borderId="31" xfId="16" applyFont="1" applyFill="1" applyBorder="1" applyAlignment="1">
      <alignment horizontal="center" vertical="center"/>
    </xf>
    <xf numFmtId="0" fontId="22" fillId="0" borderId="31" xfId="16" applyFont="1" applyFill="1" applyBorder="1" applyAlignment="1">
      <alignment horizontal="center" vertical="center"/>
    </xf>
    <xf numFmtId="0" fontId="22" fillId="0" borderId="4" xfId="16" applyFont="1" applyBorder="1" applyAlignment="1">
      <alignment horizontal="center" vertical="center"/>
    </xf>
    <xf numFmtId="0" fontId="22" fillId="6" borderId="4" xfId="16" applyFont="1" applyFill="1" applyBorder="1" applyAlignment="1">
      <alignment horizontal="center" vertical="center"/>
    </xf>
    <xf numFmtId="0" fontId="22" fillId="0" borderId="4" xfId="16" applyFont="1" applyFill="1" applyBorder="1" applyAlignment="1">
      <alignment horizontal="center" vertical="center"/>
    </xf>
    <xf numFmtId="0" fontId="22" fillId="0" borderId="7" xfId="16" applyFont="1" applyBorder="1" applyAlignment="1">
      <alignment horizontal="center" vertical="center"/>
    </xf>
    <xf numFmtId="0" fontId="22" fillId="6" borderId="7" xfId="16" applyFont="1" applyFill="1" applyBorder="1" applyAlignment="1">
      <alignment horizontal="center" vertical="center"/>
    </xf>
    <xf numFmtId="0" fontId="22" fillId="0" borderId="7" xfId="16" applyFont="1" applyFill="1" applyBorder="1" applyAlignment="1">
      <alignment horizontal="center" vertical="center"/>
    </xf>
    <xf numFmtId="0" fontId="22" fillId="0" borderId="35" xfId="16" applyFont="1" applyBorder="1" applyAlignment="1">
      <alignment horizontal="center" vertical="center"/>
    </xf>
    <xf numFmtId="0" fontId="22" fillId="6" borderId="35" xfId="16" applyFont="1" applyFill="1" applyBorder="1" applyAlignment="1">
      <alignment horizontal="center" vertical="center"/>
    </xf>
    <xf numFmtId="0" fontId="22" fillId="0" borderId="35" xfId="16" applyFont="1" applyFill="1" applyBorder="1" applyAlignment="1">
      <alignment horizontal="center" vertical="center"/>
    </xf>
    <xf numFmtId="0" fontId="22" fillId="0" borderId="36" xfId="16" applyFont="1" applyBorder="1" applyAlignment="1">
      <alignment horizontal="center" vertical="center"/>
    </xf>
    <xf numFmtId="0" fontId="22" fillId="6" borderId="36" xfId="16" applyFont="1" applyFill="1" applyBorder="1" applyAlignment="1">
      <alignment horizontal="center" vertical="center"/>
    </xf>
    <xf numFmtId="0" fontId="22" fillId="0" borderId="36" xfId="16" applyFont="1" applyFill="1" applyBorder="1" applyAlignment="1">
      <alignment horizontal="center" vertical="center"/>
    </xf>
    <xf numFmtId="0" fontId="22" fillId="0" borderId="36" xfId="16" quotePrefix="1" applyFont="1" applyBorder="1" applyAlignment="1">
      <alignment horizontal="center" vertical="center"/>
    </xf>
    <xf numFmtId="0" fontId="22" fillId="0" borderId="7" xfId="16" quotePrefix="1" applyFont="1" applyBorder="1" applyAlignment="1">
      <alignment horizontal="center" vertical="center"/>
    </xf>
    <xf numFmtId="0" fontId="22" fillId="6" borderId="4" xfId="16" quotePrefix="1" applyFont="1" applyFill="1" applyBorder="1" applyAlignment="1">
      <alignment horizontal="center" vertical="center"/>
    </xf>
    <xf numFmtId="0" fontId="22" fillId="0" borderId="4" xfId="16" quotePrefix="1" applyFont="1" applyBorder="1" applyAlignment="1">
      <alignment horizontal="center" vertical="center"/>
    </xf>
    <xf numFmtId="0" fontId="22" fillId="0" borderId="29" xfId="16" applyFont="1" applyBorder="1" applyAlignment="1">
      <alignment horizontal="center" vertical="center"/>
    </xf>
    <xf numFmtId="0" fontId="22" fillId="6" borderId="29" xfId="16" applyFont="1" applyFill="1" applyBorder="1" applyAlignment="1">
      <alignment horizontal="center" vertical="center"/>
    </xf>
    <xf numFmtId="0" fontId="22" fillId="0" borderId="29" xfId="16" applyFont="1" applyFill="1" applyBorder="1" applyAlignment="1">
      <alignment horizontal="center" vertical="center"/>
    </xf>
    <xf numFmtId="0" fontId="22" fillId="6" borderId="29" xfId="16" quotePrefix="1" applyFont="1" applyFill="1" applyBorder="1" applyAlignment="1">
      <alignment horizontal="center" vertical="center"/>
    </xf>
    <xf numFmtId="0" fontId="22" fillId="0" borderId="29" xfId="16" quotePrefix="1" applyFont="1" applyBorder="1" applyAlignment="1">
      <alignment horizontal="center" vertical="center"/>
    </xf>
    <xf numFmtId="0" fontId="22" fillId="6" borderId="36" xfId="16" quotePrefix="1" applyFont="1" applyFill="1" applyBorder="1" applyAlignment="1">
      <alignment horizontal="center" vertical="center"/>
    </xf>
    <xf numFmtId="0" fontId="22" fillId="0" borderId="59" xfId="16" applyFont="1" applyBorder="1" applyAlignment="1">
      <alignment horizontal="center" vertical="center"/>
    </xf>
    <xf numFmtId="0" fontId="22" fillId="0" borderId="58" xfId="16" applyFont="1" applyBorder="1" applyAlignment="1">
      <alignment horizontal="center" vertical="center"/>
    </xf>
    <xf numFmtId="0" fontId="22" fillId="6" borderId="59" xfId="16" applyFont="1" applyFill="1" applyBorder="1" applyAlignment="1">
      <alignment horizontal="center" vertical="center"/>
    </xf>
    <xf numFmtId="0" fontId="22" fillId="0" borderId="59" xfId="16" applyFont="1" applyFill="1" applyBorder="1" applyAlignment="1">
      <alignment horizontal="center" vertical="center"/>
    </xf>
    <xf numFmtId="0" fontId="22" fillId="0" borderId="60" xfId="16" applyFont="1" applyBorder="1" applyAlignment="1">
      <alignment horizontal="center" vertical="center"/>
    </xf>
    <xf numFmtId="0" fontId="22" fillId="6" borderId="60" xfId="16" applyFont="1" applyFill="1" applyBorder="1" applyAlignment="1">
      <alignment horizontal="center" vertical="center"/>
    </xf>
    <xf numFmtId="0" fontId="22" fillId="0" borderId="60" xfId="16" applyFont="1" applyFill="1" applyBorder="1" applyAlignment="1">
      <alignment horizontal="center" vertical="center"/>
    </xf>
    <xf numFmtId="0" fontId="22" fillId="0" borderId="61" xfId="16" applyFont="1" applyBorder="1" applyAlignment="1">
      <alignment horizontal="center" vertical="center"/>
    </xf>
    <xf numFmtId="0" fontId="22" fillId="6" borderId="61" xfId="16" applyFont="1" applyFill="1" applyBorder="1" applyAlignment="1">
      <alignment horizontal="center" vertical="center"/>
    </xf>
    <xf numFmtId="0" fontId="22" fillId="0" borderId="61" xfId="16" applyFont="1" applyFill="1" applyBorder="1" applyAlignment="1">
      <alignment horizontal="center" vertical="center"/>
    </xf>
    <xf numFmtId="0" fontId="22" fillId="0" borderId="62" xfId="16" applyFont="1" applyBorder="1" applyAlignment="1">
      <alignment horizontal="center" vertical="center"/>
    </xf>
    <xf numFmtId="0" fontId="22" fillId="6" borderId="62" xfId="16" applyFont="1" applyFill="1" applyBorder="1" applyAlignment="1">
      <alignment horizontal="center" vertical="center"/>
    </xf>
    <xf numFmtId="0" fontId="22" fillId="0" borderId="62" xfId="16" applyFont="1" applyFill="1" applyBorder="1" applyAlignment="1">
      <alignment horizontal="center" vertical="center"/>
    </xf>
    <xf numFmtId="0" fontId="22" fillId="6" borderId="56" xfId="16" applyFont="1" applyFill="1" applyBorder="1" applyAlignment="1">
      <alignment horizontal="center" vertical="center"/>
    </xf>
    <xf numFmtId="0" fontId="22" fillId="0" borderId="56" xfId="16" applyFont="1" applyFill="1" applyBorder="1" applyAlignment="1">
      <alignment horizontal="center" vertical="center"/>
    </xf>
    <xf numFmtId="0" fontId="22" fillId="0" borderId="56" xfId="16" applyFont="1" applyBorder="1" applyAlignment="1">
      <alignment horizontal="center" vertical="center"/>
    </xf>
    <xf numFmtId="0" fontId="21" fillId="0" borderId="52" xfId="16" applyFont="1" applyBorder="1" applyAlignment="1">
      <alignment horizontal="center" vertical="center" wrapText="1"/>
    </xf>
    <xf numFmtId="0" fontId="21" fillId="0" borderId="36" xfId="16" applyFont="1" applyFill="1" applyBorder="1" applyAlignment="1">
      <alignment horizontal="center" vertical="center" wrapText="1"/>
    </xf>
    <xf numFmtId="0" fontId="22" fillId="0" borderId="36" xfId="16" applyFont="1" applyFill="1" applyBorder="1" applyAlignment="1">
      <alignment horizontal="center" vertical="center" wrapText="1"/>
    </xf>
    <xf numFmtId="176" fontId="22" fillId="0" borderId="36" xfId="16" applyNumberFormat="1" applyFont="1" applyBorder="1" applyAlignment="1">
      <alignment horizontal="center" vertical="center" wrapText="1"/>
    </xf>
    <xf numFmtId="0" fontId="21" fillId="0" borderId="35" xfId="16" applyFont="1" applyFill="1" applyBorder="1" applyAlignment="1">
      <alignment horizontal="center" vertical="center" wrapText="1"/>
    </xf>
    <xf numFmtId="0" fontId="22" fillId="0" borderId="35" xfId="16" applyFont="1" applyFill="1" applyBorder="1" applyAlignment="1">
      <alignment horizontal="center" vertical="center" wrapText="1"/>
    </xf>
    <xf numFmtId="176" fontId="22" fillId="0" borderId="35" xfId="16" applyNumberFormat="1" applyFont="1" applyBorder="1" applyAlignment="1">
      <alignment horizontal="center" vertical="center" wrapText="1"/>
    </xf>
    <xf numFmtId="0" fontId="21" fillId="0" borderId="38" xfId="16" applyFont="1" applyFill="1" applyBorder="1" applyAlignment="1">
      <alignment horizontal="center" vertical="center" wrapText="1"/>
    </xf>
    <xf numFmtId="0" fontId="21" fillId="0" borderId="35" xfId="16" applyFont="1" applyFill="1" applyBorder="1" applyAlignment="1">
      <alignment horizontal="center" vertical="center" wrapText="1" shrinkToFit="1"/>
    </xf>
    <xf numFmtId="0" fontId="21" fillId="0" borderId="31" xfId="16" applyFont="1" applyFill="1" applyBorder="1" applyAlignment="1">
      <alignment horizontal="center" vertical="center" wrapText="1"/>
    </xf>
    <xf numFmtId="0" fontId="22" fillId="0" borderId="31" xfId="16" applyFont="1" applyFill="1" applyBorder="1" applyAlignment="1">
      <alignment horizontal="center" vertical="center" wrapText="1"/>
    </xf>
    <xf numFmtId="176" fontId="22" fillId="0" borderId="31" xfId="16" applyNumberFormat="1" applyFont="1" applyBorder="1" applyAlignment="1">
      <alignment horizontal="center" vertical="center" wrapText="1"/>
    </xf>
    <xf numFmtId="0" fontId="21" fillId="0" borderId="29" xfId="16" applyFont="1" applyFill="1" applyBorder="1" applyAlignment="1">
      <alignment horizontal="center" vertical="center" wrapText="1"/>
    </xf>
    <xf numFmtId="0" fontId="22" fillId="0" borderId="29" xfId="16" applyFont="1" applyFill="1" applyBorder="1" applyAlignment="1">
      <alignment horizontal="center" vertical="center" wrapText="1"/>
    </xf>
    <xf numFmtId="176" fontId="22" fillId="0" borderId="29" xfId="16" applyNumberFormat="1" applyFont="1" applyBorder="1" applyAlignment="1">
      <alignment horizontal="center" vertical="center" wrapText="1"/>
    </xf>
    <xf numFmtId="0" fontId="22" fillId="0" borderId="32" xfId="16" applyFont="1" applyBorder="1" applyAlignment="1">
      <alignment horizontal="center" vertical="center"/>
    </xf>
    <xf numFmtId="0" fontId="22" fillId="0" borderId="12" xfId="16" applyFont="1" applyBorder="1" applyAlignment="1"/>
    <xf numFmtId="0" fontId="22" fillId="0" borderId="4" xfId="16" applyFont="1" applyBorder="1" applyAlignment="1"/>
    <xf numFmtId="0" fontId="22" fillId="0" borderId="14" xfId="16" applyFont="1" applyBorder="1" applyAlignment="1"/>
    <xf numFmtId="0" fontId="22" fillId="0" borderId="15" xfId="16" applyFont="1" applyBorder="1" applyAlignment="1"/>
    <xf numFmtId="0" fontId="25" fillId="0" borderId="35" xfId="0" applyFont="1" applyFill="1" applyBorder="1" applyAlignment="1">
      <alignment horizontal="center" vertical="center" shrinkToFit="1"/>
    </xf>
    <xf numFmtId="0" fontId="22" fillId="0" borderId="35" xfId="16" applyFont="1" applyBorder="1" applyAlignment="1">
      <alignment horizontal="center" vertical="center" wrapText="1"/>
    </xf>
    <xf numFmtId="0" fontId="22" fillId="0" borderId="36" xfId="16" applyFont="1" applyBorder="1" applyAlignment="1">
      <alignment horizontal="center" vertical="center"/>
    </xf>
    <xf numFmtId="0" fontId="22" fillId="0" borderId="35" xfId="16" applyFont="1" applyBorder="1" applyAlignment="1">
      <alignment horizontal="center" vertical="center"/>
    </xf>
    <xf numFmtId="0" fontId="21" fillId="0" borderId="38" xfId="16" applyFont="1" applyFill="1" applyBorder="1" applyAlignment="1">
      <alignment horizontal="center" vertical="center" wrapText="1"/>
    </xf>
    <xf numFmtId="0" fontId="21" fillId="0" borderId="50" xfId="16" applyFont="1" applyBorder="1" applyAlignment="1">
      <alignment horizontal="center" vertical="center"/>
    </xf>
    <xf numFmtId="0" fontId="21" fillId="0" borderId="5" xfId="16" applyFont="1" applyBorder="1" applyAlignment="1">
      <alignment horizontal="center" vertical="center"/>
    </xf>
    <xf numFmtId="0" fontId="17" fillId="0" borderId="28" xfId="17" applyFont="1" applyBorder="1" applyAlignment="1">
      <alignment horizontal="center" vertical="center"/>
    </xf>
    <xf numFmtId="0" fontId="17" fillId="0" borderId="29" xfId="17" applyFont="1" applyBorder="1" applyAlignment="1">
      <alignment horizontal="center" vertical="center"/>
    </xf>
    <xf numFmtId="0" fontId="14" fillId="0" borderId="34" xfId="16" applyFont="1" applyBorder="1" applyAlignment="1">
      <alignment horizontal="right"/>
    </xf>
    <xf numFmtId="0" fontId="14" fillId="0" borderId="3" xfId="16" applyFont="1" applyBorder="1" applyAlignment="1">
      <alignment horizontal="right"/>
    </xf>
    <xf numFmtId="0" fontId="14" fillId="0" borderId="20" xfId="16" applyFont="1" applyBorder="1" applyAlignment="1">
      <alignment horizontal="right"/>
    </xf>
    <xf numFmtId="0" fontId="14" fillId="5" borderId="8" xfId="16" applyFont="1" applyFill="1" applyBorder="1" applyAlignment="1">
      <alignment horizontal="center" vertical="center" wrapText="1"/>
    </xf>
    <xf numFmtId="0" fontId="14" fillId="5" borderId="11" xfId="16" applyFont="1" applyFill="1" applyBorder="1" applyAlignment="1">
      <alignment horizontal="center" vertical="center"/>
    </xf>
    <xf numFmtId="0" fontId="14" fillId="5" borderId="13" xfId="16" applyFont="1" applyFill="1" applyBorder="1" applyAlignment="1">
      <alignment horizontal="center" vertical="center"/>
    </xf>
    <xf numFmtId="0" fontId="14" fillId="5" borderId="9" xfId="16" applyFont="1" applyFill="1" applyBorder="1" applyAlignment="1">
      <alignment horizontal="center" vertical="center"/>
    </xf>
    <xf numFmtId="0" fontId="14" fillId="5" borderId="4" xfId="16" applyFont="1" applyFill="1" applyBorder="1" applyAlignment="1">
      <alignment horizontal="center" vertical="center"/>
    </xf>
    <xf numFmtId="0" fontId="14" fillId="5" borderId="14" xfId="16" applyFont="1" applyFill="1" applyBorder="1" applyAlignment="1">
      <alignment horizontal="center" vertical="center"/>
    </xf>
    <xf numFmtId="0" fontId="14" fillId="5" borderId="33" xfId="16" applyFont="1" applyFill="1" applyBorder="1" applyAlignment="1">
      <alignment horizontal="center" vertical="center" wrapText="1"/>
    </xf>
    <xf numFmtId="0" fontId="14" fillId="5" borderId="29" xfId="16" applyFont="1" applyFill="1" applyBorder="1" applyAlignment="1">
      <alignment horizontal="center" vertical="center" wrapText="1"/>
    </xf>
    <xf numFmtId="0" fontId="14" fillId="5" borderId="18" xfId="16" applyFont="1" applyFill="1" applyBorder="1" applyAlignment="1">
      <alignment horizontal="center" vertical="center" wrapText="1"/>
    </xf>
    <xf numFmtId="0" fontId="14" fillId="5" borderId="20" xfId="16" applyFont="1" applyFill="1" applyBorder="1" applyAlignment="1">
      <alignment horizontal="center" vertical="center" wrapText="1"/>
    </xf>
    <xf numFmtId="0" fontId="14" fillId="5" borderId="28" xfId="16" applyFont="1" applyFill="1" applyBorder="1" applyAlignment="1">
      <alignment horizontal="center" vertical="center" wrapText="1"/>
    </xf>
    <xf numFmtId="0" fontId="14" fillId="5" borderId="19" xfId="16" applyFont="1" applyFill="1" applyBorder="1" applyAlignment="1">
      <alignment horizontal="center" vertical="center" wrapText="1"/>
    </xf>
    <xf numFmtId="0" fontId="14" fillId="5" borderId="9" xfId="16" applyFont="1" applyFill="1" applyBorder="1" applyAlignment="1">
      <alignment horizontal="center" vertical="center" wrapText="1"/>
    </xf>
    <xf numFmtId="0" fontId="14" fillId="5" borderId="4" xfId="16" applyFont="1" applyFill="1" applyBorder="1" applyAlignment="1">
      <alignment horizontal="center" vertical="center" wrapText="1"/>
    </xf>
    <xf numFmtId="0" fontId="14" fillId="5" borderId="14" xfId="16" applyFont="1" applyFill="1" applyBorder="1" applyAlignment="1">
      <alignment horizontal="center" vertical="center" wrapText="1"/>
    </xf>
    <xf numFmtId="0" fontId="15" fillId="7" borderId="22" xfId="16" applyFont="1" applyFill="1" applyBorder="1" applyAlignment="1">
      <alignment horizontal="center" vertical="center" wrapText="1"/>
    </xf>
    <xf numFmtId="0" fontId="15" fillId="7" borderId="17" xfId="16" applyFont="1" applyFill="1" applyBorder="1" applyAlignment="1">
      <alignment horizontal="center" vertical="center" wrapText="1"/>
    </xf>
    <xf numFmtId="0" fontId="15" fillId="5" borderId="22" xfId="16" applyFont="1" applyFill="1" applyBorder="1" applyAlignment="1">
      <alignment horizontal="center" vertical="center" wrapText="1"/>
    </xf>
    <xf numFmtId="0" fontId="15" fillId="5" borderId="17" xfId="16" applyFont="1" applyFill="1" applyBorder="1" applyAlignment="1">
      <alignment horizontal="center" vertical="center" wrapText="1"/>
    </xf>
    <xf numFmtId="0" fontId="14" fillId="5" borderId="10" xfId="16" applyFont="1" applyFill="1" applyBorder="1" applyAlignment="1">
      <alignment horizontal="center" vertical="center" wrapText="1"/>
    </xf>
    <xf numFmtId="0" fontId="14" fillId="5" borderId="12" xfId="16" applyFont="1" applyFill="1" applyBorder="1" applyAlignment="1">
      <alignment horizontal="center" vertical="center"/>
    </xf>
    <xf numFmtId="0" fontId="14" fillId="5" borderId="15" xfId="16" applyFont="1" applyFill="1" applyBorder="1" applyAlignment="1">
      <alignment horizontal="center" vertical="center"/>
    </xf>
    <xf numFmtId="0" fontId="14" fillId="7" borderId="4" xfId="16" applyFont="1" applyFill="1" applyBorder="1" applyAlignment="1">
      <alignment horizontal="center" vertical="center"/>
    </xf>
    <xf numFmtId="0" fontId="14" fillId="7" borderId="14" xfId="16" applyFont="1" applyFill="1" applyBorder="1" applyAlignment="1">
      <alignment horizontal="center" vertical="center"/>
    </xf>
    <xf numFmtId="0" fontId="22" fillId="0" borderId="5" xfId="16" applyFont="1" applyBorder="1" applyAlignment="1">
      <alignment horizontal="center" vertical="center"/>
    </xf>
    <xf numFmtId="0" fontId="22" fillId="0" borderId="6" xfId="16" applyFont="1" applyBorder="1" applyAlignment="1">
      <alignment horizontal="center" vertical="center"/>
    </xf>
    <xf numFmtId="0" fontId="22" fillId="0" borderId="47" xfId="16" applyFont="1" applyBorder="1" applyAlignment="1">
      <alignment horizontal="center" vertical="center"/>
    </xf>
    <xf numFmtId="0" fontId="22" fillId="0" borderId="48" xfId="16" applyFont="1" applyBorder="1" applyAlignment="1">
      <alignment horizontal="center" vertical="center"/>
    </xf>
    <xf numFmtId="0" fontId="22" fillId="0" borderId="39" xfId="16" applyFont="1" applyBorder="1" applyAlignment="1">
      <alignment horizontal="center" vertical="center"/>
    </xf>
    <xf numFmtId="0" fontId="22" fillId="0" borderId="40" xfId="16" applyFont="1" applyBorder="1" applyAlignment="1">
      <alignment horizontal="center" vertical="center"/>
    </xf>
    <xf numFmtId="0" fontId="21" fillId="0" borderId="36" xfId="16" applyFont="1" applyFill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/>
    </xf>
    <xf numFmtId="0" fontId="22" fillId="0" borderId="42" xfId="16" applyFont="1" applyBorder="1" applyAlignment="1">
      <alignment horizontal="center" vertical="center"/>
    </xf>
    <xf numFmtId="0" fontId="22" fillId="0" borderId="43" xfId="16" applyFont="1" applyBorder="1" applyAlignment="1">
      <alignment horizontal="center" vertical="center"/>
    </xf>
    <xf numFmtId="0" fontId="21" fillId="0" borderId="33" xfId="16" applyFont="1" applyBorder="1" applyAlignment="1">
      <alignment horizontal="center" vertical="center"/>
    </xf>
    <xf numFmtId="0" fontId="21" fillId="0" borderId="29" xfId="16" applyFont="1" applyBorder="1" applyAlignment="1">
      <alignment horizontal="center" vertical="center"/>
    </xf>
    <xf numFmtId="0" fontId="21" fillId="0" borderId="37" xfId="16" applyFont="1" applyBorder="1" applyAlignment="1">
      <alignment horizontal="center" vertical="center"/>
    </xf>
    <xf numFmtId="0" fontId="21" fillId="0" borderId="38" xfId="16" applyFont="1" applyFill="1" applyBorder="1" applyAlignment="1">
      <alignment horizontal="center" vertical="center" wrapText="1"/>
    </xf>
    <xf numFmtId="0" fontId="21" fillId="0" borderId="29" xfId="16" applyFont="1" applyFill="1" applyBorder="1" applyAlignment="1">
      <alignment horizontal="center" vertical="center" wrapText="1"/>
    </xf>
    <xf numFmtId="0" fontId="21" fillId="0" borderId="37" xfId="16" applyFont="1" applyFill="1" applyBorder="1" applyAlignment="1">
      <alignment horizontal="center" vertical="center" wrapText="1"/>
    </xf>
    <xf numFmtId="0" fontId="22" fillId="0" borderId="45" xfId="16" applyFont="1" applyBorder="1" applyAlignment="1">
      <alignment horizontal="center" vertical="center" wrapText="1"/>
    </xf>
    <xf numFmtId="0" fontId="22" fillId="0" borderId="12" xfId="16" applyFont="1" applyBorder="1" applyAlignment="1">
      <alignment horizontal="center" vertical="center" wrapText="1"/>
    </xf>
    <xf numFmtId="0" fontId="22" fillId="0" borderId="26" xfId="16" applyFont="1" applyBorder="1" applyAlignment="1">
      <alignment horizontal="center" vertical="center" wrapText="1"/>
    </xf>
    <xf numFmtId="0" fontId="22" fillId="0" borderId="36" xfId="16" applyFont="1" applyBorder="1" applyAlignment="1">
      <alignment horizontal="center" vertical="center"/>
    </xf>
    <xf numFmtId="0" fontId="22" fillId="0" borderId="35" xfId="16" applyFont="1" applyBorder="1" applyAlignment="1">
      <alignment horizontal="center" vertical="center"/>
    </xf>
    <xf numFmtId="0" fontId="22" fillId="0" borderId="36" xfId="16" applyFont="1" applyBorder="1" applyAlignment="1">
      <alignment horizontal="center" vertical="center" wrapText="1"/>
    </xf>
    <xf numFmtId="0" fontId="22" fillId="0" borderId="35" xfId="16" applyFont="1" applyBorder="1" applyAlignment="1">
      <alignment horizontal="center" vertical="center" wrapText="1"/>
    </xf>
    <xf numFmtId="0" fontId="22" fillId="6" borderId="38" xfId="16" applyFont="1" applyFill="1" applyBorder="1" applyAlignment="1">
      <alignment horizontal="center" vertical="center"/>
    </xf>
    <xf numFmtId="0" fontId="22" fillId="6" borderId="37" xfId="16" applyFont="1" applyFill="1" applyBorder="1" applyAlignment="1">
      <alignment horizontal="center" vertical="center"/>
    </xf>
    <xf numFmtId="0" fontId="22" fillId="0" borderId="38" xfId="16" applyFont="1" applyFill="1" applyBorder="1" applyAlignment="1">
      <alignment horizontal="center" vertical="center"/>
    </xf>
    <xf numFmtId="0" fontId="22" fillId="0" borderId="37" xfId="16" applyFont="1" applyFill="1" applyBorder="1" applyAlignment="1">
      <alignment horizontal="center" vertical="center"/>
    </xf>
    <xf numFmtId="0" fontId="22" fillId="6" borderId="36" xfId="16" applyFont="1" applyFill="1" applyBorder="1" applyAlignment="1">
      <alignment horizontal="center" vertical="center"/>
    </xf>
    <xf numFmtId="0" fontId="22" fillId="6" borderId="35" xfId="16" applyFont="1" applyFill="1" applyBorder="1" applyAlignment="1">
      <alignment horizontal="center" vertical="center"/>
    </xf>
    <xf numFmtId="0" fontId="22" fillId="0" borderId="38" xfId="16" applyFont="1" applyBorder="1" applyAlignment="1">
      <alignment horizontal="center" vertical="center"/>
    </xf>
    <xf numFmtId="0" fontId="22" fillId="0" borderId="37" xfId="16" applyFont="1" applyBorder="1" applyAlignment="1">
      <alignment horizontal="center" vertical="center"/>
    </xf>
    <xf numFmtId="0" fontId="22" fillId="0" borderId="31" xfId="16" applyFont="1" applyBorder="1" applyAlignment="1">
      <alignment horizontal="center" vertical="center" wrapText="1"/>
    </xf>
    <xf numFmtId="0" fontId="22" fillId="0" borderId="29" xfId="16" applyFont="1" applyBorder="1" applyAlignment="1">
      <alignment horizontal="center" vertical="center" wrapText="1"/>
    </xf>
    <xf numFmtId="0" fontId="22" fillId="6" borderId="29" xfId="16" applyFont="1" applyFill="1" applyBorder="1" applyAlignment="1">
      <alignment horizontal="center" vertical="center"/>
    </xf>
    <xf numFmtId="0" fontId="22" fillId="0" borderId="29" xfId="16" applyFont="1" applyFill="1" applyBorder="1" applyAlignment="1">
      <alignment horizontal="center" vertical="center"/>
    </xf>
    <xf numFmtId="0" fontId="22" fillId="6" borderId="31" xfId="16" applyFont="1" applyFill="1" applyBorder="1" applyAlignment="1">
      <alignment horizontal="center" vertical="center"/>
    </xf>
    <xf numFmtId="0" fontId="22" fillId="0" borderId="31" xfId="16" applyFont="1" applyBorder="1" applyAlignment="1">
      <alignment horizontal="center" vertical="center"/>
    </xf>
    <xf numFmtId="0" fontId="22" fillId="0" borderId="29" xfId="16" applyFont="1" applyBorder="1" applyAlignment="1">
      <alignment horizontal="center" vertical="center"/>
    </xf>
    <xf numFmtId="0" fontId="22" fillId="0" borderId="14" xfId="16" applyFont="1" applyBorder="1" applyAlignment="1">
      <alignment horizontal="center" vertical="center"/>
    </xf>
    <xf numFmtId="0" fontId="22" fillId="0" borderId="61" xfId="16" applyFont="1" applyBorder="1" applyAlignment="1">
      <alignment horizontal="center" vertical="center" wrapText="1"/>
    </xf>
    <xf numFmtId="0" fontId="22" fillId="0" borderId="60" xfId="16" applyFont="1" applyBorder="1" applyAlignment="1">
      <alignment horizontal="center" vertical="center" wrapText="1"/>
    </xf>
    <xf numFmtId="0" fontId="24" fillId="0" borderId="30" xfId="16" applyFont="1" applyBorder="1" applyAlignment="1">
      <alignment horizontal="center" vertical="center" wrapText="1"/>
    </xf>
    <xf numFmtId="0" fontId="24" fillId="0" borderId="31" xfId="16" applyFont="1" applyBorder="1" applyAlignment="1">
      <alignment horizontal="center" vertical="center" wrapText="1"/>
    </xf>
    <xf numFmtId="0" fontId="24" fillId="0" borderId="16" xfId="16" applyFont="1" applyBorder="1" applyAlignment="1">
      <alignment horizontal="center" vertical="center"/>
    </xf>
    <xf numFmtId="0" fontId="24" fillId="0" borderId="21" xfId="16" applyFont="1" applyBorder="1" applyAlignment="1">
      <alignment horizontal="center" vertical="center"/>
    </xf>
    <xf numFmtId="0" fontId="24" fillId="0" borderId="6" xfId="16" applyFont="1" applyBorder="1" applyAlignment="1">
      <alignment horizontal="center" vertical="center"/>
    </xf>
    <xf numFmtId="0" fontId="24" fillId="0" borderId="11" xfId="16" applyFont="1" applyBorder="1" applyAlignment="1">
      <alignment horizontal="center" vertical="center"/>
    </xf>
    <xf numFmtId="0" fontId="24" fillId="0" borderId="4" xfId="16" applyFont="1" applyBorder="1" applyAlignment="1">
      <alignment horizontal="center" vertical="center"/>
    </xf>
    <xf numFmtId="0" fontId="24" fillId="0" borderId="13" xfId="16" applyFont="1" applyBorder="1" applyAlignment="1">
      <alignment horizontal="center" vertical="center" wrapText="1"/>
    </xf>
    <xf numFmtId="0" fontId="24" fillId="0" borderId="14" xfId="16" applyFont="1" applyBorder="1" applyAlignment="1">
      <alignment horizontal="center" vertical="center" wrapText="1"/>
    </xf>
    <xf numFmtId="0" fontId="22" fillId="0" borderId="14" xfId="16" applyFont="1" applyFill="1" applyBorder="1" applyAlignment="1">
      <alignment horizontal="center" vertical="center"/>
    </xf>
    <xf numFmtId="0" fontId="21" fillId="0" borderId="53" xfId="16" applyFont="1" applyBorder="1" applyAlignment="1">
      <alignment horizontal="center" vertical="center" wrapText="1"/>
    </xf>
    <xf numFmtId="0" fontId="21" fillId="0" borderId="54" xfId="16" applyFont="1" applyBorder="1" applyAlignment="1">
      <alignment horizontal="center" vertical="center" wrapText="1"/>
    </xf>
    <xf numFmtId="0" fontId="21" fillId="0" borderId="55" xfId="16" applyFont="1" applyBorder="1" applyAlignment="1">
      <alignment horizontal="center" vertical="center" wrapText="1"/>
    </xf>
    <xf numFmtId="0" fontId="21" fillId="0" borderId="27" xfId="16" applyFont="1" applyBorder="1" applyAlignment="1">
      <alignment horizontal="center" vertical="center" wrapText="1"/>
    </xf>
    <xf numFmtId="0" fontId="21" fillId="0" borderId="49" xfId="16" applyFont="1" applyBorder="1" applyAlignment="1">
      <alignment horizontal="center" vertical="center" wrapText="1"/>
    </xf>
    <xf numFmtId="0" fontId="21" fillId="0" borderId="25" xfId="16" applyFont="1" applyBorder="1" applyAlignment="1">
      <alignment horizontal="center" vertical="center" wrapText="1"/>
    </xf>
    <xf numFmtId="0" fontId="21" fillId="0" borderId="23" xfId="16" applyFont="1" applyBorder="1" applyAlignment="1">
      <alignment horizontal="center" vertical="center" wrapText="1"/>
    </xf>
    <xf numFmtId="0" fontId="22" fillId="0" borderId="22" xfId="16" applyFont="1" applyBorder="1" applyAlignment="1">
      <alignment horizontal="center" vertical="center"/>
    </xf>
    <xf numFmtId="0" fontId="22" fillId="0" borderId="17" xfId="16" applyFont="1" applyBorder="1" applyAlignment="1">
      <alignment horizontal="center" vertical="center"/>
    </xf>
    <xf numFmtId="0" fontId="22" fillId="0" borderId="33" xfId="16" applyFont="1" applyBorder="1" applyAlignment="1">
      <alignment horizontal="center" vertical="center"/>
    </xf>
    <xf numFmtId="0" fontId="22" fillId="0" borderId="24" xfId="16" applyFont="1" applyBorder="1" applyAlignment="1">
      <alignment horizontal="center" vertical="center" wrapText="1"/>
    </xf>
    <xf numFmtId="0" fontId="22" fillId="0" borderId="41" xfId="16" applyFont="1" applyBorder="1" applyAlignment="1">
      <alignment horizontal="center" vertical="center" wrapText="1"/>
    </xf>
    <xf numFmtId="0" fontId="21" fillId="0" borderId="51" xfId="16" applyFont="1" applyBorder="1" applyAlignment="1">
      <alignment horizontal="center" vertical="center" wrapText="1"/>
    </xf>
    <xf numFmtId="0" fontId="21" fillId="0" borderId="66" xfId="16" applyFont="1" applyBorder="1" applyAlignment="1">
      <alignment horizontal="center" vertical="center" wrapText="1"/>
    </xf>
    <xf numFmtId="0" fontId="21" fillId="0" borderId="67" xfId="16" applyFont="1" applyBorder="1" applyAlignment="1">
      <alignment horizontal="center" vertical="center" wrapText="1"/>
    </xf>
    <xf numFmtId="0" fontId="22" fillId="0" borderId="63" xfId="16" applyFont="1" applyBorder="1" applyAlignment="1">
      <alignment horizontal="center" vertical="center" wrapText="1"/>
    </xf>
    <xf numFmtId="0" fontId="22" fillId="0" borderId="64" xfId="16" applyFont="1" applyBorder="1" applyAlignment="1">
      <alignment horizontal="center" vertical="center" wrapText="1"/>
    </xf>
    <xf numFmtId="0" fontId="22" fillId="0" borderId="65" xfId="16" applyFont="1" applyBorder="1" applyAlignment="1">
      <alignment horizontal="center" vertical="center" wrapText="1"/>
    </xf>
    <xf numFmtId="0" fontId="22" fillId="0" borderId="44" xfId="16" applyFont="1" applyBorder="1" applyAlignment="1">
      <alignment horizontal="center" vertical="center"/>
    </xf>
    <xf numFmtId="0" fontId="22" fillId="0" borderId="26" xfId="16" applyFont="1" applyBorder="1" applyAlignment="1">
      <alignment horizontal="center" vertical="center"/>
    </xf>
    <xf numFmtId="0" fontId="22" fillId="0" borderId="57" xfId="16" applyFont="1" applyBorder="1" applyAlignment="1">
      <alignment horizontal="center" vertical="center"/>
    </xf>
    <xf numFmtId="0" fontId="22" fillId="0" borderId="50" xfId="16" applyFont="1" applyBorder="1" applyAlignment="1">
      <alignment horizontal="center" vertical="center"/>
    </xf>
    <xf numFmtId="0" fontId="22" fillId="0" borderId="28" xfId="16" applyFont="1" applyBorder="1" applyAlignment="1">
      <alignment horizontal="center" vertical="center"/>
    </xf>
    <xf numFmtId="0" fontId="23" fillId="0" borderId="38" xfId="16" applyFont="1" applyFill="1" applyBorder="1" applyAlignment="1">
      <alignment horizontal="center" vertical="center" wrapText="1" shrinkToFit="1"/>
    </xf>
    <xf numFmtId="0" fontId="23" fillId="0" borderId="29" xfId="16" applyFont="1" applyFill="1" applyBorder="1" applyAlignment="1">
      <alignment horizontal="center" vertical="center" wrapText="1" shrinkToFit="1"/>
    </xf>
    <xf numFmtId="0" fontId="22" fillId="0" borderId="44" xfId="16" applyFont="1" applyBorder="1" applyAlignment="1">
      <alignment horizontal="center" vertical="center" wrapText="1"/>
    </xf>
    <xf numFmtId="0" fontId="21" fillId="0" borderId="36" xfId="16" applyFont="1" applyFill="1" applyBorder="1" applyAlignment="1">
      <alignment horizontal="center" vertical="center" wrapText="1"/>
    </xf>
    <xf numFmtId="0" fontId="21" fillId="0" borderId="35" xfId="16" applyFont="1" applyFill="1" applyBorder="1" applyAlignment="1">
      <alignment horizontal="center" vertical="center" wrapText="1"/>
    </xf>
    <xf numFmtId="0" fontId="22" fillId="0" borderId="45" xfId="16" applyFont="1" applyBorder="1" applyAlignment="1">
      <alignment horizontal="center" vertical="center"/>
    </xf>
    <xf numFmtId="0" fontId="22" fillId="0" borderId="46" xfId="16" applyFont="1" applyBorder="1" applyAlignment="1">
      <alignment horizontal="center" vertical="center"/>
    </xf>
    <xf numFmtId="0" fontId="22" fillId="0" borderId="58" xfId="16" applyFont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 wrapText="1"/>
    </xf>
    <xf numFmtId="0" fontId="22" fillId="3" borderId="36" xfId="16" applyFont="1" applyFill="1" applyBorder="1" applyAlignment="1">
      <alignment horizontal="center" vertical="center"/>
    </xf>
    <xf numFmtId="0" fontId="22" fillId="3" borderId="4" xfId="16" applyFont="1" applyFill="1" applyBorder="1" applyAlignment="1">
      <alignment horizontal="center" vertical="center"/>
    </xf>
    <xf numFmtId="0" fontId="22" fillId="3" borderId="35" xfId="16" applyFont="1" applyFill="1" applyBorder="1" applyAlignment="1">
      <alignment horizontal="center" vertical="center"/>
    </xf>
    <xf numFmtId="0" fontId="22" fillId="0" borderId="46" xfId="16" applyFont="1" applyBorder="1" applyAlignment="1">
      <alignment horizontal="center" vertical="center" wrapText="1"/>
    </xf>
    <xf numFmtId="0" fontId="21" fillId="0" borderId="38" xfId="16" applyFont="1" applyFill="1" applyBorder="1" applyAlignment="1">
      <alignment horizontal="center" vertical="center"/>
    </xf>
    <xf numFmtId="0" fontId="21" fillId="0" borderId="29" xfId="16" applyFont="1" applyFill="1" applyBorder="1" applyAlignment="1">
      <alignment horizontal="center" vertical="center"/>
    </xf>
    <xf numFmtId="0" fontId="21" fillId="0" borderId="37" xfId="16" applyFont="1" applyFill="1" applyBorder="1" applyAlignment="1">
      <alignment horizontal="center" vertical="center"/>
    </xf>
    <xf numFmtId="0" fontId="22" fillId="0" borderId="38" xfId="16" applyFont="1" applyBorder="1" applyAlignment="1">
      <alignment horizontal="center" vertical="center" wrapText="1"/>
    </xf>
    <xf numFmtId="0" fontId="22" fillId="0" borderId="37" xfId="16" applyFont="1" applyBorder="1" applyAlignment="1">
      <alignment horizontal="center" vertical="center" wrapText="1"/>
    </xf>
    <xf numFmtId="0" fontId="22" fillId="0" borderId="4" xfId="16" applyFont="1" applyBorder="1" applyAlignment="1">
      <alignment horizontal="center" vertical="center" wrapText="1"/>
    </xf>
  </cellXfs>
  <cellStyles count="18">
    <cellStyle name="제목 1 2" xfId="1" xr:uid="{00000000-0005-0000-0000-000004000000}"/>
    <cellStyle name="출력 2" xfId="3" xr:uid="{00000000-0005-0000-0000-000005000000}"/>
    <cellStyle name="출력 2 2" xfId="10" xr:uid="{00000000-0005-0000-0000-000006000000}"/>
    <cellStyle name="표준" xfId="0" builtinId="0"/>
    <cellStyle name="표준 2" xfId="2" xr:uid="{00000000-0005-0000-0000-000008000000}"/>
    <cellStyle name="표준 2 2" xfId="6" xr:uid="{00000000-0005-0000-0000-000009000000}"/>
    <cellStyle name="표준 3" xfId="4" xr:uid="{00000000-0005-0000-0000-00000A000000}"/>
    <cellStyle name="표준 3 2" xfId="7" xr:uid="{00000000-0005-0000-0000-00000B000000}"/>
    <cellStyle name="표준 4" xfId="5" xr:uid="{00000000-0005-0000-0000-00000C000000}"/>
    <cellStyle name="표준 4 2" xfId="9" xr:uid="{00000000-0005-0000-0000-00000D000000}"/>
    <cellStyle name="표준 4 3" xfId="8" xr:uid="{00000000-0005-0000-0000-00000E000000}"/>
    <cellStyle name="표준 4 4" xfId="11" xr:uid="{00000000-0005-0000-0000-00000F000000}"/>
    <cellStyle name="표준 4 5" xfId="15" xr:uid="{00000000-0005-0000-0000-000010000000}"/>
    <cellStyle name="표준 4 5 2" xfId="16" xr:uid="{6B88B265-63F8-4BD4-9081-44453E733E42}"/>
    <cellStyle name="표준 4 5 2 3" xfId="17" xr:uid="{F951C133-4573-4186-8731-838D8B6F5CF2}"/>
    <cellStyle name="표준 5" xfId="12" xr:uid="{00000000-0005-0000-0000-000011000000}"/>
    <cellStyle name="표준 6" xfId="13" xr:uid="{00000000-0005-0000-0000-000012000000}"/>
    <cellStyle name="표준 7" xfId="14" xr:uid="{00000000-0005-0000-0000-00001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DDFF"/>
      <color rgb="FFCCFF99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B8CB-37B8-477D-AA0D-9E315C3A1A23}">
  <sheetPr>
    <pageSetUpPr fitToPage="1"/>
  </sheetPr>
  <dimension ref="A1:O67"/>
  <sheetViews>
    <sheetView tabSelected="1" zoomScale="115" zoomScaleNormal="115" workbookViewId="0">
      <pane ySplit="5" topLeftCell="A15" activePane="bottomLeft" state="frozen"/>
      <selection pane="bottomLeft" activeCell="C21" sqref="C21:D21"/>
    </sheetView>
  </sheetViews>
  <sheetFormatPr defaultRowHeight="16.5"/>
  <cols>
    <col min="2" max="2" width="9" style="4"/>
    <col min="3" max="3" width="23.375" customWidth="1"/>
    <col min="4" max="4" width="4.75" bestFit="1" customWidth="1"/>
    <col min="5" max="5" width="9" style="4"/>
    <col min="6" max="7" width="8.25" style="4" bestFit="1" customWidth="1"/>
    <col min="8" max="9" width="9" style="6"/>
    <col min="12" max="12" width="9" style="4"/>
  </cols>
  <sheetData>
    <row r="1" spans="1:15" ht="27" thickBot="1">
      <c r="A1" s="81" t="s">
        <v>101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8" thickBot="1">
      <c r="A2" s="9" t="s">
        <v>61</v>
      </c>
      <c r="B2" s="1"/>
      <c r="C2" s="1"/>
      <c r="D2" s="1"/>
      <c r="E2" s="7"/>
      <c r="F2" s="8"/>
      <c r="G2" s="3"/>
      <c r="H2" s="5"/>
      <c r="I2" s="5"/>
      <c r="J2" s="2"/>
      <c r="K2" s="2"/>
      <c r="L2" s="83" t="s">
        <v>5</v>
      </c>
      <c r="M2" s="84"/>
      <c r="N2" s="84"/>
      <c r="O2" s="85"/>
    </row>
    <row r="3" spans="1:15" ht="24" customHeight="1">
      <c r="A3" s="86" t="s">
        <v>6</v>
      </c>
      <c r="B3" s="89" t="s">
        <v>7</v>
      </c>
      <c r="C3" s="92" t="s">
        <v>27</v>
      </c>
      <c r="D3" s="92" t="s">
        <v>8</v>
      </c>
      <c r="E3" s="95" t="s">
        <v>9</v>
      </c>
      <c r="F3" s="98" t="s">
        <v>62</v>
      </c>
      <c r="G3" s="98" t="s">
        <v>63</v>
      </c>
      <c r="H3" s="101" t="s">
        <v>90</v>
      </c>
      <c r="I3" s="102"/>
      <c r="J3" s="103" t="s">
        <v>91</v>
      </c>
      <c r="K3" s="104"/>
      <c r="L3" s="103" t="s">
        <v>92</v>
      </c>
      <c r="M3" s="104"/>
      <c r="N3" s="98" t="s">
        <v>24</v>
      </c>
      <c r="O3" s="105" t="s">
        <v>25</v>
      </c>
    </row>
    <row r="4" spans="1:15">
      <c r="A4" s="87"/>
      <c r="B4" s="90"/>
      <c r="C4" s="93"/>
      <c r="D4" s="93"/>
      <c r="E4" s="96"/>
      <c r="F4" s="99"/>
      <c r="G4" s="99"/>
      <c r="H4" s="108" t="s">
        <v>0</v>
      </c>
      <c r="I4" s="108" t="s">
        <v>10</v>
      </c>
      <c r="J4" s="90" t="s">
        <v>0</v>
      </c>
      <c r="K4" s="90" t="s">
        <v>10</v>
      </c>
      <c r="L4" s="90" t="s">
        <v>0</v>
      </c>
      <c r="M4" s="90" t="s">
        <v>10</v>
      </c>
      <c r="N4" s="90"/>
      <c r="O4" s="106"/>
    </row>
    <row r="5" spans="1:15" ht="17.25" thickBot="1">
      <c r="A5" s="88"/>
      <c r="B5" s="91"/>
      <c r="C5" s="94"/>
      <c r="D5" s="94"/>
      <c r="E5" s="97"/>
      <c r="F5" s="100"/>
      <c r="G5" s="100"/>
      <c r="H5" s="109"/>
      <c r="I5" s="109"/>
      <c r="J5" s="91"/>
      <c r="K5" s="91"/>
      <c r="L5" s="91"/>
      <c r="M5" s="91"/>
      <c r="N5" s="91"/>
      <c r="O5" s="107"/>
    </row>
    <row r="6" spans="1:15">
      <c r="A6" s="166" t="s">
        <v>11</v>
      </c>
      <c r="B6" s="120" t="s">
        <v>12</v>
      </c>
      <c r="C6" s="168" t="s">
        <v>28</v>
      </c>
      <c r="D6" s="169"/>
      <c r="E6" s="10" t="s">
        <v>13</v>
      </c>
      <c r="F6" s="10">
        <v>4</v>
      </c>
      <c r="G6" s="10">
        <v>4</v>
      </c>
      <c r="H6" s="11">
        <v>4</v>
      </c>
      <c r="I6" s="12"/>
      <c r="J6" s="11"/>
      <c r="K6" s="10"/>
      <c r="L6" s="11"/>
      <c r="M6" s="10"/>
      <c r="N6" s="170">
        <f>SUM(H6:M11)</f>
        <v>20</v>
      </c>
      <c r="O6" s="171">
        <v>8</v>
      </c>
    </row>
    <row r="7" spans="1:15">
      <c r="A7" s="164"/>
      <c r="B7" s="121"/>
      <c r="C7" s="110" t="s">
        <v>29</v>
      </c>
      <c r="D7" s="111"/>
      <c r="E7" s="13" t="s">
        <v>1</v>
      </c>
      <c r="F7" s="13">
        <v>4</v>
      </c>
      <c r="G7" s="13">
        <v>4</v>
      </c>
      <c r="H7" s="14"/>
      <c r="I7" s="15">
        <v>4</v>
      </c>
      <c r="J7" s="14"/>
      <c r="K7" s="13"/>
      <c r="L7" s="14"/>
      <c r="M7" s="13"/>
      <c r="N7" s="147"/>
      <c r="O7" s="128"/>
    </row>
    <row r="8" spans="1:15">
      <c r="A8" s="164"/>
      <c r="B8" s="121"/>
      <c r="C8" s="110" t="s">
        <v>30</v>
      </c>
      <c r="D8" s="111"/>
      <c r="E8" s="16" t="s">
        <v>2</v>
      </c>
      <c r="F8" s="16">
        <v>4</v>
      </c>
      <c r="G8" s="16">
        <v>3</v>
      </c>
      <c r="H8" s="17"/>
      <c r="I8" s="18"/>
      <c r="J8" s="17">
        <v>3</v>
      </c>
      <c r="K8" s="16"/>
      <c r="L8" s="17"/>
      <c r="M8" s="16"/>
      <c r="N8" s="147"/>
      <c r="O8" s="128"/>
    </row>
    <row r="9" spans="1:15">
      <c r="A9" s="164"/>
      <c r="B9" s="121"/>
      <c r="C9" s="110" t="s">
        <v>32</v>
      </c>
      <c r="D9" s="111"/>
      <c r="E9" s="16" t="s">
        <v>2</v>
      </c>
      <c r="F9" s="16">
        <v>4</v>
      </c>
      <c r="G9" s="16">
        <v>3</v>
      </c>
      <c r="H9" s="17"/>
      <c r="I9" s="18"/>
      <c r="J9" s="17"/>
      <c r="K9" s="16">
        <v>3</v>
      </c>
      <c r="L9" s="17"/>
      <c r="M9" s="16"/>
      <c r="N9" s="147"/>
      <c r="O9" s="128"/>
    </row>
    <row r="10" spans="1:15">
      <c r="A10" s="164"/>
      <c r="B10" s="121"/>
      <c r="C10" s="112" t="s">
        <v>31</v>
      </c>
      <c r="D10" s="113"/>
      <c r="E10" s="19" t="s">
        <v>2</v>
      </c>
      <c r="F10" s="19">
        <v>4</v>
      </c>
      <c r="G10" s="19">
        <v>3</v>
      </c>
      <c r="H10" s="20"/>
      <c r="I10" s="21"/>
      <c r="J10" s="20"/>
      <c r="K10" s="19"/>
      <c r="L10" s="20">
        <v>3</v>
      </c>
      <c r="M10" s="19"/>
      <c r="N10" s="147"/>
      <c r="O10" s="128"/>
    </row>
    <row r="11" spans="1:15">
      <c r="A11" s="164"/>
      <c r="B11" s="122"/>
      <c r="C11" s="114" t="s">
        <v>82</v>
      </c>
      <c r="D11" s="115"/>
      <c r="E11" s="22" t="s">
        <v>51</v>
      </c>
      <c r="F11" s="22">
        <v>4</v>
      </c>
      <c r="G11" s="22">
        <v>3</v>
      </c>
      <c r="H11" s="23"/>
      <c r="I11" s="24"/>
      <c r="J11" s="23"/>
      <c r="K11" s="22"/>
      <c r="L11" s="23"/>
      <c r="M11" s="22">
        <v>3</v>
      </c>
      <c r="N11" s="140"/>
      <c r="O11" s="172"/>
    </row>
    <row r="12" spans="1:15">
      <c r="A12" s="164"/>
      <c r="B12" s="197" t="s">
        <v>15</v>
      </c>
      <c r="C12" s="118" t="s">
        <v>33</v>
      </c>
      <c r="D12" s="119"/>
      <c r="E12" s="25" t="s">
        <v>13</v>
      </c>
      <c r="F12" s="25">
        <v>4</v>
      </c>
      <c r="G12" s="25">
        <v>4</v>
      </c>
      <c r="H12" s="26">
        <v>4</v>
      </c>
      <c r="I12" s="27"/>
      <c r="J12" s="26"/>
      <c r="K12" s="25"/>
      <c r="L12" s="26"/>
      <c r="M12" s="25"/>
      <c r="N12" s="200">
        <f>SUM(H12:M17)</f>
        <v>25</v>
      </c>
      <c r="O12" s="186">
        <v>8</v>
      </c>
    </row>
    <row r="13" spans="1:15">
      <c r="A13" s="164"/>
      <c r="B13" s="198"/>
      <c r="C13" s="110" t="s">
        <v>34</v>
      </c>
      <c r="D13" s="111"/>
      <c r="E13" s="16" t="s">
        <v>1</v>
      </c>
      <c r="F13" s="16">
        <v>4</v>
      </c>
      <c r="G13" s="16">
        <v>4</v>
      </c>
      <c r="H13" s="17"/>
      <c r="I13" s="18">
        <v>4</v>
      </c>
      <c r="J13" s="17"/>
      <c r="K13" s="16"/>
      <c r="L13" s="17"/>
      <c r="M13" s="16"/>
      <c r="N13" s="142"/>
      <c r="O13" s="128"/>
    </row>
    <row r="14" spans="1:15">
      <c r="A14" s="164"/>
      <c r="B14" s="198"/>
      <c r="C14" s="110" t="s">
        <v>35</v>
      </c>
      <c r="D14" s="111"/>
      <c r="E14" s="16" t="s">
        <v>2</v>
      </c>
      <c r="F14" s="16">
        <v>4</v>
      </c>
      <c r="G14" s="16">
        <v>4</v>
      </c>
      <c r="H14" s="17"/>
      <c r="I14" s="18"/>
      <c r="J14" s="17">
        <v>4</v>
      </c>
      <c r="K14" s="16"/>
      <c r="L14" s="17"/>
      <c r="M14" s="16"/>
      <c r="N14" s="142"/>
      <c r="O14" s="128"/>
    </row>
    <row r="15" spans="1:15">
      <c r="A15" s="164"/>
      <c r="B15" s="198"/>
      <c r="C15" s="110" t="s">
        <v>36</v>
      </c>
      <c r="D15" s="111"/>
      <c r="E15" s="16" t="s">
        <v>2</v>
      </c>
      <c r="F15" s="16">
        <v>4</v>
      </c>
      <c r="G15" s="16">
        <v>4</v>
      </c>
      <c r="H15" s="17"/>
      <c r="I15" s="18"/>
      <c r="J15" s="17"/>
      <c r="K15" s="16">
        <v>4</v>
      </c>
      <c r="L15" s="17"/>
      <c r="M15" s="16"/>
      <c r="N15" s="142"/>
      <c r="O15" s="128"/>
    </row>
    <row r="16" spans="1:15">
      <c r="A16" s="164"/>
      <c r="B16" s="198"/>
      <c r="C16" s="110" t="s">
        <v>74</v>
      </c>
      <c r="D16" s="111"/>
      <c r="E16" s="16" t="s">
        <v>2</v>
      </c>
      <c r="F16" s="16">
        <v>4</v>
      </c>
      <c r="G16" s="16">
        <v>4</v>
      </c>
      <c r="H16" s="17"/>
      <c r="I16" s="18"/>
      <c r="J16" s="17"/>
      <c r="K16" s="16"/>
      <c r="L16" s="17">
        <v>4</v>
      </c>
      <c r="M16" s="16"/>
      <c r="N16" s="142"/>
      <c r="O16" s="128"/>
    </row>
    <row r="17" spans="1:15">
      <c r="A17" s="164"/>
      <c r="B17" s="199"/>
      <c r="C17" s="114" t="s">
        <v>68</v>
      </c>
      <c r="D17" s="115"/>
      <c r="E17" s="13" t="s">
        <v>51</v>
      </c>
      <c r="F17" s="13">
        <v>4</v>
      </c>
      <c r="G17" s="13">
        <v>5</v>
      </c>
      <c r="H17" s="14"/>
      <c r="I17" s="15"/>
      <c r="J17" s="14"/>
      <c r="K17" s="13"/>
      <c r="L17" s="14"/>
      <c r="M17" s="13">
        <v>5</v>
      </c>
      <c r="N17" s="201"/>
      <c r="O17" s="172"/>
    </row>
    <row r="18" spans="1:15">
      <c r="A18" s="164"/>
      <c r="B18" s="123" t="s">
        <v>16</v>
      </c>
      <c r="C18" s="118" t="s">
        <v>37</v>
      </c>
      <c r="D18" s="119"/>
      <c r="E18" s="25" t="s">
        <v>13</v>
      </c>
      <c r="F18" s="25">
        <v>4</v>
      </c>
      <c r="G18" s="25">
        <v>4</v>
      </c>
      <c r="H18" s="26">
        <v>4</v>
      </c>
      <c r="I18" s="27"/>
      <c r="J18" s="26"/>
      <c r="K18" s="25"/>
      <c r="L18" s="26"/>
      <c r="M18" s="25"/>
      <c r="N18" s="139">
        <f>SUM(H18:M23)</f>
        <v>28</v>
      </c>
      <c r="O18" s="186">
        <v>8</v>
      </c>
    </row>
    <row r="19" spans="1:15">
      <c r="A19" s="164"/>
      <c r="B19" s="124"/>
      <c r="C19" s="110" t="s">
        <v>38</v>
      </c>
      <c r="D19" s="111"/>
      <c r="E19" s="16" t="s">
        <v>1</v>
      </c>
      <c r="F19" s="16">
        <v>4</v>
      </c>
      <c r="G19" s="16">
        <v>4</v>
      </c>
      <c r="H19" s="17"/>
      <c r="I19" s="18">
        <v>4</v>
      </c>
      <c r="J19" s="17"/>
      <c r="K19" s="16"/>
      <c r="L19" s="17"/>
      <c r="M19" s="16"/>
      <c r="N19" s="147"/>
      <c r="O19" s="128"/>
    </row>
    <row r="20" spans="1:15">
      <c r="A20" s="164"/>
      <c r="B20" s="124"/>
      <c r="C20" s="110" t="s">
        <v>39</v>
      </c>
      <c r="D20" s="111"/>
      <c r="E20" s="16" t="s">
        <v>2</v>
      </c>
      <c r="F20" s="16">
        <v>4</v>
      </c>
      <c r="G20" s="16">
        <v>5</v>
      </c>
      <c r="H20" s="17"/>
      <c r="I20" s="18"/>
      <c r="J20" s="17">
        <v>5</v>
      </c>
      <c r="K20" s="16"/>
      <c r="L20" s="17"/>
      <c r="M20" s="16"/>
      <c r="N20" s="147"/>
      <c r="O20" s="128"/>
    </row>
    <row r="21" spans="1:15">
      <c r="A21" s="164"/>
      <c r="B21" s="124"/>
      <c r="C21" s="110" t="s">
        <v>40</v>
      </c>
      <c r="D21" s="111"/>
      <c r="E21" s="16" t="s">
        <v>2</v>
      </c>
      <c r="F21" s="16">
        <v>4</v>
      </c>
      <c r="G21" s="16">
        <v>5</v>
      </c>
      <c r="H21" s="17"/>
      <c r="I21" s="18"/>
      <c r="J21" s="17"/>
      <c r="K21" s="16">
        <v>5</v>
      </c>
      <c r="L21" s="17"/>
      <c r="M21" s="16"/>
      <c r="N21" s="147"/>
      <c r="O21" s="128"/>
    </row>
    <row r="22" spans="1:15">
      <c r="A22" s="164"/>
      <c r="B22" s="124"/>
      <c r="C22" s="110" t="s">
        <v>64</v>
      </c>
      <c r="D22" s="111"/>
      <c r="E22" s="13" t="s">
        <v>2</v>
      </c>
      <c r="F22" s="13">
        <v>4</v>
      </c>
      <c r="G22" s="13">
        <v>5</v>
      </c>
      <c r="H22" s="14"/>
      <c r="I22" s="15"/>
      <c r="J22" s="14"/>
      <c r="K22" s="13"/>
      <c r="L22" s="14">
        <v>5</v>
      </c>
      <c r="M22" s="13"/>
      <c r="N22" s="147"/>
      <c r="O22" s="128"/>
    </row>
    <row r="23" spans="1:15">
      <c r="A23" s="164"/>
      <c r="B23" s="125"/>
      <c r="C23" s="114" t="s">
        <v>97</v>
      </c>
      <c r="D23" s="115"/>
      <c r="E23" s="13" t="s">
        <v>51</v>
      </c>
      <c r="F23" s="13">
        <v>4</v>
      </c>
      <c r="G23" s="13">
        <v>5</v>
      </c>
      <c r="H23" s="14"/>
      <c r="I23" s="15"/>
      <c r="J23" s="14"/>
      <c r="K23" s="13"/>
      <c r="L23" s="14"/>
      <c r="M23" s="13">
        <v>5</v>
      </c>
      <c r="N23" s="140"/>
      <c r="O23" s="172"/>
    </row>
    <row r="24" spans="1:15" ht="16.5" customHeight="1">
      <c r="A24" s="164"/>
      <c r="B24" s="184" t="s">
        <v>41</v>
      </c>
      <c r="C24" s="118" t="s">
        <v>42</v>
      </c>
      <c r="D24" s="119"/>
      <c r="E24" s="25" t="s">
        <v>13</v>
      </c>
      <c r="F24" s="25">
        <v>3</v>
      </c>
      <c r="G24" s="25">
        <v>3</v>
      </c>
      <c r="H24" s="26">
        <v>3</v>
      </c>
      <c r="I24" s="27"/>
      <c r="J24" s="26"/>
      <c r="K24" s="28"/>
      <c r="L24" s="26"/>
      <c r="M24" s="25"/>
      <c r="N24" s="139">
        <f>SUM(H24:M25)</f>
        <v>6</v>
      </c>
      <c r="O24" s="186">
        <v>6</v>
      </c>
    </row>
    <row r="25" spans="1:15">
      <c r="A25" s="164"/>
      <c r="B25" s="185"/>
      <c r="C25" s="112" t="s">
        <v>43</v>
      </c>
      <c r="D25" s="113"/>
      <c r="E25" s="19" t="s">
        <v>1</v>
      </c>
      <c r="F25" s="19">
        <v>3</v>
      </c>
      <c r="G25" s="19">
        <v>3</v>
      </c>
      <c r="H25" s="20"/>
      <c r="I25" s="21">
        <v>3</v>
      </c>
      <c r="J25" s="20"/>
      <c r="K25" s="29"/>
      <c r="L25" s="20"/>
      <c r="M25" s="19"/>
      <c r="N25" s="147"/>
      <c r="O25" s="128"/>
    </row>
    <row r="26" spans="1:15">
      <c r="A26" s="164"/>
      <c r="B26" s="185"/>
      <c r="C26" s="118" t="s">
        <v>44</v>
      </c>
      <c r="D26" s="119"/>
      <c r="E26" s="25" t="s">
        <v>1</v>
      </c>
      <c r="F26" s="25">
        <v>4</v>
      </c>
      <c r="G26" s="25">
        <v>4</v>
      </c>
      <c r="H26" s="26">
        <v>4</v>
      </c>
      <c r="I26" s="27"/>
      <c r="J26" s="26"/>
      <c r="K26" s="28"/>
      <c r="L26" s="26"/>
      <c r="M26" s="25"/>
      <c r="N26" s="139">
        <f>SUM(H26:M31)</f>
        <v>24</v>
      </c>
      <c r="O26" s="186">
        <v>8</v>
      </c>
    </row>
    <row r="27" spans="1:15">
      <c r="A27" s="164"/>
      <c r="B27" s="185"/>
      <c r="C27" s="110" t="s">
        <v>45</v>
      </c>
      <c r="D27" s="111"/>
      <c r="E27" s="16" t="s">
        <v>13</v>
      </c>
      <c r="F27" s="16">
        <v>4</v>
      </c>
      <c r="G27" s="16">
        <v>4</v>
      </c>
      <c r="H27" s="17"/>
      <c r="I27" s="18">
        <v>4</v>
      </c>
      <c r="J27" s="17"/>
      <c r="K27" s="16"/>
      <c r="L27" s="30"/>
      <c r="M27" s="31"/>
      <c r="N27" s="147"/>
      <c r="O27" s="128"/>
    </row>
    <row r="28" spans="1:15">
      <c r="A28" s="164"/>
      <c r="B28" s="185"/>
      <c r="C28" s="110" t="s">
        <v>71</v>
      </c>
      <c r="D28" s="111"/>
      <c r="E28" s="16" t="s">
        <v>2</v>
      </c>
      <c r="F28" s="16">
        <v>4</v>
      </c>
      <c r="G28" s="16">
        <v>4</v>
      </c>
      <c r="H28" s="17"/>
      <c r="I28" s="18"/>
      <c r="J28" s="17">
        <v>4</v>
      </c>
      <c r="K28" s="16"/>
      <c r="L28" s="30"/>
      <c r="M28" s="31"/>
      <c r="N28" s="147"/>
      <c r="O28" s="128"/>
    </row>
    <row r="29" spans="1:15">
      <c r="A29" s="164"/>
      <c r="B29" s="185"/>
      <c r="C29" s="110" t="s">
        <v>83</v>
      </c>
      <c r="D29" s="111"/>
      <c r="E29" s="16" t="s">
        <v>2</v>
      </c>
      <c r="F29" s="16">
        <v>4</v>
      </c>
      <c r="G29" s="16">
        <v>3</v>
      </c>
      <c r="H29" s="17"/>
      <c r="I29" s="18"/>
      <c r="J29" s="17">
        <v>3</v>
      </c>
      <c r="K29" s="16"/>
      <c r="L29" s="30"/>
      <c r="M29" s="31"/>
      <c r="N29" s="147"/>
      <c r="O29" s="128"/>
    </row>
    <row r="30" spans="1:15">
      <c r="A30" s="164"/>
      <c r="B30" s="185"/>
      <c r="C30" s="182" t="s">
        <v>69</v>
      </c>
      <c r="D30" s="183"/>
      <c r="E30" s="79" t="s">
        <v>51</v>
      </c>
      <c r="F30" s="32">
        <v>4</v>
      </c>
      <c r="G30" s="32">
        <v>5</v>
      </c>
      <c r="H30" s="33"/>
      <c r="I30" s="34"/>
      <c r="J30" s="33"/>
      <c r="K30" s="32">
        <v>5</v>
      </c>
      <c r="L30" s="35"/>
      <c r="M30" s="36"/>
      <c r="N30" s="147"/>
      <c r="O30" s="128"/>
    </row>
    <row r="31" spans="1:15">
      <c r="A31" s="164"/>
      <c r="B31" s="185"/>
      <c r="C31" s="110" t="s">
        <v>75</v>
      </c>
      <c r="D31" s="111"/>
      <c r="E31" s="80" t="s">
        <v>56</v>
      </c>
      <c r="F31" s="16">
        <v>4</v>
      </c>
      <c r="G31" s="16">
        <v>4</v>
      </c>
      <c r="H31" s="17"/>
      <c r="I31" s="18"/>
      <c r="J31" s="17"/>
      <c r="K31" s="16"/>
      <c r="L31" s="30">
        <v>4</v>
      </c>
      <c r="M31" s="31"/>
      <c r="N31" s="147"/>
      <c r="O31" s="128"/>
    </row>
    <row r="32" spans="1:15">
      <c r="A32" s="164"/>
      <c r="B32" s="116" t="s">
        <v>17</v>
      </c>
      <c r="C32" s="118" t="s">
        <v>46</v>
      </c>
      <c r="D32" s="119"/>
      <c r="E32" s="25" t="s">
        <v>13</v>
      </c>
      <c r="F32" s="25">
        <v>4</v>
      </c>
      <c r="G32" s="25">
        <v>3</v>
      </c>
      <c r="H32" s="26">
        <v>3</v>
      </c>
      <c r="I32" s="27"/>
      <c r="J32" s="26"/>
      <c r="K32" s="25"/>
      <c r="L32" s="37"/>
      <c r="M32" s="28"/>
      <c r="N32" s="131">
        <f>SUM(H32:M36)</f>
        <v>12</v>
      </c>
      <c r="O32" s="126">
        <v>10</v>
      </c>
    </row>
    <row r="33" spans="1:15">
      <c r="A33" s="164"/>
      <c r="B33" s="117"/>
      <c r="C33" s="110" t="s">
        <v>47</v>
      </c>
      <c r="D33" s="111"/>
      <c r="E33" s="16" t="s">
        <v>1</v>
      </c>
      <c r="F33" s="16">
        <v>4</v>
      </c>
      <c r="G33" s="16">
        <v>3</v>
      </c>
      <c r="H33" s="17"/>
      <c r="I33" s="18">
        <v>3</v>
      </c>
      <c r="J33" s="17"/>
      <c r="K33" s="16"/>
      <c r="L33" s="30"/>
      <c r="M33" s="31"/>
      <c r="N33" s="202"/>
      <c r="O33" s="127"/>
    </row>
    <row r="34" spans="1:15">
      <c r="A34" s="164"/>
      <c r="B34" s="117"/>
      <c r="C34" s="110" t="s">
        <v>48</v>
      </c>
      <c r="D34" s="111"/>
      <c r="E34" s="16" t="s">
        <v>1</v>
      </c>
      <c r="F34" s="16">
        <v>1</v>
      </c>
      <c r="G34" s="16">
        <v>1</v>
      </c>
      <c r="H34" s="17">
        <v>1</v>
      </c>
      <c r="I34" s="18"/>
      <c r="J34" s="17"/>
      <c r="K34" s="16"/>
      <c r="L34" s="30"/>
      <c r="M34" s="31"/>
      <c r="N34" s="202"/>
      <c r="O34" s="127"/>
    </row>
    <row r="35" spans="1:15">
      <c r="A35" s="164"/>
      <c r="B35" s="117"/>
      <c r="C35" s="110" t="s">
        <v>49</v>
      </c>
      <c r="D35" s="111"/>
      <c r="E35" s="16" t="s">
        <v>13</v>
      </c>
      <c r="F35" s="16">
        <v>1</v>
      </c>
      <c r="G35" s="16">
        <v>1</v>
      </c>
      <c r="H35" s="17"/>
      <c r="I35" s="18">
        <v>1</v>
      </c>
      <c r="J35" s="17"/>
      <c r="K35" s="16"/>
      <c r="L35" s="30"/>
      <c r="M35" s="31"/>
      <c r="N35" s="202"/>
      <c r="O35" s="127"/>
    </row>
    <row r="36" spans="1:15">
      <c r="A36" s="164"/>
      <c r="B36" s="117"/>
      <c r="C36" s="110" t="s">
        <v>65</v>
      </c>
      <c r="D36" s="111"/>
      <c r="E36" s="16" t="s">
        <v>2</v>
      </c>
      <c r="F36" s="16">
        <v>4</v>
      </c>
      <c r="G36" s="16">
        <v>4</v>
      </c>
      <c r="H36" s="17"/>
      <c r="I36" s="18"/>
      <c r="J36" s="17">
        <v>4</v>
      </c>
      <c r="K36" s="16"/>
      <c r="L36" s="30"/>
      <c r="M36" s="31"/>
      <c r="N36" s="202"/>
      <c r="O36" s="127"/>
    </row>
    <row r="37" spans="1:15">
      <c r="A37" s="164"/>
      <c r="B37" s="187" t="s">
        <v>18</v>
      </c>
      <c r="C37" s="118" t="s">
        <v>52</v>
      </c>
      <c r="D37" s="119"/>
      <c r="E37" s="25" t="s">
        <v>2</v>
      </c>
      <c r="F37" s="25">
        <v>3</v>
      </c>
      <c r="G37" s="25">
        <v>2</v>
      </c>
      <c r="H37" s="26">
        <v>2</v>
      </c>
      <c r="I37" s="27"/>
      <c r="J37" s="26"/>
      <c r="K37" s="25"/>
      <c r="L37" s="26"/>
      <c r="M37" s="25"/>
      <c r="N37" s="193">
        <f>SUM(H37:M42)</f>
        <v>13</v>
      </c>
      <c r="O37" s="126">
        <v>10</v>
      </c>
    </row>
    <row r="38" spans="1:15">
      <c r="A38" s="164"/>
      <c r="B38" s="192"/>
      <c r="C38" s="110" t="s">
        <v>54</v>
      </c>
      <c r="D38" s="111"/>
      <c r="E38" s="16" t="s">
        <v>2</v>
      </c>
      <c r="F38" s="16">
        <v>3</v>
      </c>
      <c r="G38" s="16">
        <v>3</v>
      </c>
      <c r="H38" s="17"/>
      <c r="I38" s="18">
        <v>3</v>
      </c>
      <c r="J38" s="17"/>
      <c r="K38" s="16"/>
      <c r="L38" s="17"/>
      <c r="M38" s="16"/>
      <c r="N38" s="194"/>
      <c r="O38" s="127"/>
    </row>
    <row r="39" spans="1:15">
      <c r="A39" s="164"/>
      <c r="B39" s="192"/>
      <c r="C39" s="110" t="s">
        <v>50</v>
      </c>
      <c r="D39" s="111"/>
      <c r="E39" s="16" t="s">
        <v>51</v>
      </c>
      <c r="F39" s="16">
        <v>2</v>
      </c>
      <c r="G39" s="16">
        <v>2</v>
      </c>
      <c r="H39" s="17"/>
      <c r="I39" s="18"/>
      <c r="J39" s="17">
        <v>2</v>
      </c>
      <c r="K39" s="16"/>
      <c r="L39" s="17"/>
      <c r="M39" s="16"/>
      <c r="N39" s="194"/>
      <c r="O39" s="127"/>
    </row>
    <row r="40" spans="1:15">
      <c r="A40" s="164"/>
      <c r="B40" s="192"/>
      <c r="C40" s="110" t="s">
        <v>53</v>
      </c>
      <c r="D40" s="111"/>
      <c r="E40" s="16" t="s">
        <v>51</v>
      </c>
      <c r="F40" s="16">
        <v>2</v>
      </c>
      <c r="G40" s="16">
        <v>2</v>
      </c>
      <c r="H40" s="17"/>
      <c r="I40" s="18"/>
      <c r="J40" s="17"/>
      <c r="K40" s="16">
        <v>2</v>
      </c>
      <c r="L40" s="17"/>
      <c r="M40" s="16"/>
      <c r="N40" s="194"/>
      <c r="O40" s="127"/>
    </row>
    <row r="41" spans="1:15">
      <c r="A41" s="164"/>
      <c r="B41" s="192"/>
      <c r="C41" s="110" t="s">
        <v>55</v>
      </c>
      <c r="D41" s="111"/>
      <c r="E41" s="16" t="s">
        <v>56</v>
      </c>
      <c r="F41" s="16">
        <v>3</v>
      </c>
      <c r="G41" s="16">
        <v>2</v>
      </c>
      <c r="H41" s="17"/>
      <c r="I41" s="18"/>
      <c r="J41" s="17"/>
      <c r="K41" s="16"/>
      <c r="L41" s="17">
        <v>2</v>
      </c>
      <c r="M41" s="16"/>
      <c r="N41" s="194"/>
      <c r="O41" s="127"/>
    </row>
    <row r="42" spans="1:15">
      <c r="A42" s="164"/>
      <c r="B42" s="188"/>
      <c r="C42" s="114" t="s">
        <v>57</v>
      </c>
      <c r="D42" s="115"/>
      <c r="E42" s="22" t="s">
        <v>56</v>
      </c>
      <c r="F42" s="22">
        <v>3</v>
      </c>
      <c r="G42" s="22">
        <v>2</v>
      </c>
      <c r="H42" s="23"/>
      <c r="I42" s="24"/>
      <c r="J42" s="23"/>
      <c r="K42" s="22"/>
      <c r="L42" s="23"/>
      <c r="M42" s="22">
        <v>2</v>
      </c>
      <c r="N42" s="195"/>
      <c r="O42" s="196"/>
    </row>
    <row r="43" spans="1:15">
      <c r="A43" s="164"/>
      <c r="B43" s="187" t="s">
        <v>19</v>
      </c>
      <c r="C43" s="118" t="s">
        <v>4</v>
      </c>
      <c r="D43" s="119"/>
      <c r="E43" s="25" t="s">
        <v>2</v>
      </c>
      <c r="F43" s="25">
        <v>3</v>
      </c>
      <c r="G43" s="25">
        <v>3</v>
      </c>
      <c r="H43" s="26"/>
      <c r="I43" s="27">
        <v>3</v>
      </c>
      <c r="J43" s="26"/>
      <c r="K43" s="25"/>
      <c r="L43" s="26"/>
      <c r="M43" s="25"/>
      <c r="N43" s="131">
        <f>SUM(H43:M44)</f>
        <v>6</v>
      </c>
      <c r="O43" s="189">
        <v>5</v>
      </c>
    </row>
    <row r="44" spans="1:15">
      <c r="A44" s="164"/>
      <c r="B44" s="188"/>
      <c r="C44" s="114" t="s">
        <v>3</v>
      </c>
      <c r="D44" s="115"/>
      <c r="E44" s="22" t="s">
        <v>2</v>
      </c>
      <c r="F44" s="22">
        <v>3</v>
      </c>
      <c r="G44" s="22">
        <v>3</v>
      </c>
      <c r="H44" s="23"/>
      <c r="I44" s="24"/>
      <c r="J44" s="23"/>
      <c r="K44" s="22">
        <v>3</v>
      </c>
      <c r="L44" s="23"/>
      <c r="M44" s="22"/>
      <c r="N44" s="132"/>
      <c r="O44" s="190"/>
    </row>
    <row r="45" spans="1:15" ht="16.5" customHeight="1">
      <c r="A45" s="164"/>
      <c r="B45" s="173" t="s">
        <v>67</v>
      </c>
      <c r="C45" s="191" t="s">
        <v>78</v>
      </c>
      <c r="D45" s="191"/>
      <c r="E45" s="38" t="s">
        <v>14</v>
      </c>
      <c r="F45" s="38">
        <v>3</v>
      </c>
      <c r="G45" s="39">
        <v>4</v>
      </c>
      <c r="H45" s="40">
        <v>4</v>
      </c>
      <c r="I45" s="41"/>
      <c r="J45" s="40"/>
      <c r="K45" s="38"/>
      <c r="L45" s="40"/>
      <c r="M45" s="38"/>
      <c r="N45" s="176">
        <f>SUM(H45:M49)</f>
        <v>21</v>
      </c>
      <c r="O45" s="179">
        <v>12</v>
      </c>
    </row>
    <row r="46" spans="1:15">
      <c r="A46" s="164"/>
      <c r="B46" s="174"/>
      <c r="C46" s="150" t="s">
        <v>59</v>
      </c>
      <c r="D46" s="150"/>
      <c r="E46" s="42" t="s">
        <v>2</v>
      </c>
      <c r="F46" s="42">
        <v>4</v>
      </c>
      <c r="G46" s="42">
        <v>4</v>
      </c>
      <c r="H46" s="43"/>
      <c r="I46" s="44"/>
      <c r="J46" s="43">
        <v>4</v>
      </c>
      <c r="K46" s="42"/>
      <c r="L46" s="43"/>
      <c r="M46" s="44"/>
      <c r="N46" s="177"/>
      <c r="O46" s="180"/>
    </row>
    <row r="47" spans="1:15">
      <c r="A47" s="164"/>
      <c r="B47" s="174"/>
      <c r="C47" s="149" t="s">
        <v>73</v>
      </c>
      <c r="D47" s="149"/>
      <c r="E47" s="45" t="s">
        <v>51</v>
      </c>
      <c r="F47" s="45">
        <v>4</v>
      </c>
      <c r="G47" s="45">
        <v>4</v>
      </c>
      <c r="H47" s="46"/>
      <c r="I47" s="47"/>
      <c r="J47" s="46"/>
      <c r="K47" s="45">
        <v>4</v>
      </c>
      <c r="L47" s="46"/>
      <c r="M47" s="47"/>
      <c r="N47" s="177"/>
      <c r="O47" s="180"/>
    </row>
    <row r="48" spans="1:15">
      <c r="A48" s="164"/>
      <c r="B48" s="174"/>
      <c r="C48" s="150" t="s">
        <v>70</v>
      </c>
      <c r="D48" s="150"/>
      <c r="E48" s="42" t="s">
        <v>51</v>
      </c>
      <c r="F48" s="42">
        <v>4</v>
      </c>
      <c r="G48" s="42">
        <v>5</v>
      </c>
      <c r="H48" s="43"/>
      <c r="I48" s="44"/>
      <c r="J48" s="43"/>
      <c r="K48" s="42"/>
      <c r="L48" s="43">
        <v>5</v>
      </c>
      <c r="M48" s="44"/>
      <c r="N48" s="177"/>
      <c r="O48" s="180"/>
    </row>
    <row r="49" spans="1:15" ht="17.25" thickBot="1">
      <c r="A49" s="164"/>
      <c r="B49" s="175"/>
      <c r="C49" s="150" t="s">
        <v>76</v>
      </c>
      <c r="D49" s="150"/>
      <c r="E49" s="48" t="s">
        <v>56</v>
      </c>
      <c r="F49" s="48">
        <v>4</v>
      </c>
      <c r="G49" s="48">
        <v>4</v>
      </c>
      <c r="H49" s="49"/>
      <c r="I49" s="50"/>
      <c r="J49" s="49"/>
      <c r="K49" s="48"/>
      <c r="L49" s="49"/>
      <c r="M49" s="50">
        <v>4</v>
      </c>
      <c r="N49" s="178"/>
      <c r="O49" s="181"/>
    </row>
    <row r="50" spans="1:15" ht="18" thickTop="1" thickBot="1">
      <c r="A50" s="167"/>
      <c r="B50" s="161" t="s">
        <v>58</v>
      </c>
      <c r="C50" s="162"/>
      <c r="D50" s="162"/>
      <c r="E50" s="162"/>
      <c r="F50" s="162"/>
      <c r="G50" s="163"/>
      <c r="H50" s="51">
        <f t="shared" ref="H50:N50" si="0">SUM(H6:H49)</f>
        <v>29</v>
      </c>
      <c r="I50" s="52">
        <f t="shared" si="0"/>
        <v>29</v>
      </c>
      <c r="J50" s="51">
        <f t="shared" si="0"/>
        <v>29</v>
      </c>
      <c r="K50" s="53">
        <f t="shared" si="0"/>
        <v>26</v>
      </c>
      <c r="L50" s="51">
        <f t="shared" si="0"/>
        <v>23</v>
      </c>
      <c r="M50" s="52">
        <f t="shared" si="0"/>
        <v>19</v>
      </c>
      <c r="N50" s="53">
        <f t="shared" si="0"/>
        <v>155</v>
      </c>
      <c r="O50" s="54">
        <v>84</v>
      </c>
    </row>
    <row r="51" spans="1:15">
      <c r="A51" s="164"/>
      <c r="B51" s="61" t="s">
        <v>87</v>
      </c>
      <c r="C51" s="56" t="s">
        <v>72</v>
      </c>
      <c r="D51" s="131" t="s">
        <v>60</v>
      </c>
      <c r="E51" s="25" t="s">
        <v>51</v>
      </c>
      <c r="F51" s="25">
        <v>4</v>
      </c>
      <c r="G51" s="57">
        <v>3</v>
      </c>
      <c r="H51" s="133"/>
      <c r="I51" s="135"/>
      <c r="J51" s="133"/>
      <c r="K51" s="139">
        <v>3</v>
      </c>
      <c r="L51" s="133"/>
      <c r="M51" s="139"/>
      <c r="N51" s="139">
        <f>SUM(H51:M52)</f>
        <v>3</v>
      </c>
      <c r="O51" s="128"/>
    </row>
    <row r="52" spans="1:15">
      <c r="A52" s="164"/>
      <c r="B52" s="74" t="s">
        <v>98</v>
      </c>
      <c r="C52" s="59" t="s">
        <v>66</v>
      </c>
      <c r="D52" s="132"/>
      <c r="E52" s="22" t="s">
        <v>2</v>
      </c>
      <c r="F52" s="22">
        <v>4</v>
      </c>
      <c r="G52" s="60">
        <v>3</v>
      </c>
      <c r="H52" s="134"/>
      <c r="I52" s="136"/>
      <c r="J52" s="134"/>
      <c r="K52" s="140"/>
      <c r="L52" s="134"/>
      <c r="M52" s="140"/>
      <c r="N52" s="140"/>
      <c r="O52" s="128"/>
    </row>
    <row r="53" spans="1:15">
      <c r="A53" s="164"/>
      <c r="B53" s="78" t="s">
        <v>87</v>
      </c>
      <c r="C53" s="56" t="s">
        <v>89</v>
      </c>
      <c r="D53" s="131" t="s">
        <v>60</v>
      </c>
      <c r="E53" s="76" t="s">
        <v>56</v>
      </c>
      <c r="F53" s="76">
        <v>4</v>
      </c>
      <c r="G53" s="57">
        <v>3</v>
      </c>
      <c r="H53" s="133"/>
      <c r="I53" s="135"/>
      <c r="J53" s="133"/>
      <c r="K53" s="139"/>
      <c r="L53" s="133">
        <v>3</v>
      </c>
      <c r="M53" s="139"/>
      <c r="N53" s="139">
        <f>SUM(H53:M54)</f>
        <v>3</v>
      </c>
      <c r="O53" s="128"/>
    </row>
    <row r="54" spans="1:15">
      <c r="A54" s="164"/>
      <c r="B54" s="74" t="s">
        <v>94</v>
      </c>
      <c r="C54" s="59" t="s">
        <v>93</v>
      </c>
      <c r="D54" s="132"/>
      <c r="E54" s="77" t="s">
        <v>51</v>
      </c>
      <c r="F54" s="77">
        <v>4</v>
      </c>
      <c r="G54" s="60">
        <v>3</v>
      </c>
      <c r="H54" s="134"/>
      <c r="I54" s="136"/>
      <c r="J54" s="134"/>
      <c r="K54" s="140"/>
      <c r="L54" s="134"/>
      <c r="M54" s="140"/>
      <c r="N54" s="140"/>
      <c r="O54" s="128"/>
    </row>
    <row r="55" spans="1:15">
      <c r="A55" s="164"/>
      <c r="B55" s="55" t="s">
        <v>88</v>
      </c>
      <c r="C55" s="56" t="s">
        <v>84</v>
      </c>
      <c r="D55" s="131" t="s">
        <v>60</v>
      </c>
      <c r="E55" s="25" t="s">
        <v>51</v>
      </c>
      <c r="F55" s="25">
        <v>3</v>
      </c>
      <c r="G55" s="57">
        <v>3</v>
      </c>
      <c r="H55" s="133"/>
      <c r="I55" s="135"/>
      <c r="J55" s="137"/>
      <c r="K55" s="129"/>
      <c r="L55" s="137">
        <v>3</v>
      </c>
      <c r="M55" s="129"/>
      <c r="N55" s="129">
        <f>SUM(H55:M56)</f>
        <v>3</v>
      </c>
      <c r="O55" s="128"/>
    </row>
    <row r="56" spans="1:15">
      <c r="A56" s="164"/>
      <c r="B56" s="62" t="s">
        <v>88</v>
      </c>
      <c r="C56" s="59" t="s">
        <v>77</v>
      </c>
      <c r="D56" s="132"/>
      <c r="E56" s="22" t="s">
        <v>51</v>
      </c>
      <c r="F56" s="22">
        <v>3</v>
      </c>
      <c r="G56" s="60">
        <v>3</v>
      </c>
      <c r="H56" s="134"/>
      <c r="I56" s="136"/>
      <c r="J56" s="138"/>
      <c r="K56" s="130"/>
      <c r="L56" s="138"/>
      <c r="M56" s="130"/>
      <c r="N56" s="130"/>
      <c r="O56" s="128"/>
    </row>
    <row r="57" spans="1:15" ht="16.5" customHeight="1">
      <c r="A57" s="164"/>
      <c r="B57" s="55" t="s">
        <v>15</v>
      </c>
      <c r="C57" s="56" t="s">
        <v>96</v>
      </c>
      <c r="D57" s="131" t="s">
        <v>60</v>
      </c>
      <c r="E57" s="25" t="s">
        <v>79</v>
      </c>
      <c r="F57" s="25">
        <v>4</v>
      </c>
      <c r="G57" s="57">
        <v>5</v>
      </c>
      <c r="H57" s="133"/>
      <c r="I57" s="135"/>
      <c r="J57" s="137"/>
      <c r="K57" s="129"/>
      <c r="L57" s="137"/>
      <c r="M57" s="129">
        <v>5</v>
      </c>
      <c r="N57" s="129">
        <f>SUM(H57:M58)</f>
        <v>5</v>
      </c>
      <c r="O57" s="128"/>
    </row>
    <row r="58" spans="1:15" ht="16.5" customHeight="1">
      <c r="A58" s="164"/>
      <c r="B58" s="58" t="s">
        <v>95</v>
      </c>
      <c r="C58" s="75" t="s">
        <v>81</v>
      </c>
      <c r="D58" s="132"/>
      <c r="E58" s="22" t="s">
        <v>79</v>
      </c>
      <c r="F58" s="22">
        <v>4</v>
      </c>
      <c r="G58" s="60">
        <v>5</v>
      </c>
      <c r="H58" s="134"/>
      <c r="I58" s="136"/>
      <c r="J58" s="138"/>
      <c r="K58" s="130"/>
      <c r="L58" s="138"/>
      <c r="M58" s="130"/>
      <c r="N58" s="130"/>
      <c r="O58" s="128"/>
    </row>
    <row r="59" spans="1:15">
      <c r="A59" s="164"/>
      <c r="B59" s="63" t="s">
        <v>86</v>
      </c>
      <c r="C59" s="64" t="s">
        <v>99</v>
      </c>
      <c r="D59" s="141" t="s">
        <v>60</v>
      </c>
      <c r="E59" s="13" t="s">
        <v>56</v>
      </c>
      <c r="F59" s="13">
        <v>4</v>
      </c>
      <c r="G59" s="65">
        <v>3</v>
      </c>
      <c r="H59" s="143"/>
      <c r="I59" s="144"/>
      <c r="J59" s="145"/>
      <c r="K59" s="146"/>
      <c r="L59" s="145"/>
      <c r="M59" s="146">
        <v>3</v>
      </c>
      <c r="N59" s="146">
        <f>SUM(H59:M60)</f>
        <v>3</v>
      </c>
      <c r="O59" s="128"/>
    </row>
    <row r="60" spans="1:15">
      <c r="A60" s="164"/>
      <c r="B60" s="66" t="s">
        <v>17</v>
      </c>
      <c r="C60" s="67" t="s">
        <v>100</v>
      </c>
      <c r="D60" s="142"/>
      <c r="E60" s="32" t="s">
        <v>51</v>
      </c>
      <c r="F60" s="32">
        <v>4</v>
      </c>
      <c r="G60" s="68">
        <v>3</v>
      </c>
      <c r="H60" s="143"/>
      <c r="I60" s="144"/>
      <c r="J60" s="143"/>
      <c r="K60" s="147"/>
      <c r="L60" s="143"/>
      <c r="M60" s="147"/>
      <c r="N60" s="147"/>
      <c r="O60" s="128"/>
    </row>
    <row r="61" spans="1:15" ht="16.5" customHeight="1">
      <c r="A61" s="164"/>
      <c r="B61" s="55" t="s">
        <v>88</v>
      </c>
      <c r="C61" s="56" t="s">
        <v>85</v>
      </c>
      <c r="D61" s="131" t="s">
        <v>60</v>
      </c>
      <c r="E61" s="25" t="s">
        <v>2</v>
      </c>
      <c r="F61" s="25">
        <v>3</v>
      </c>
      <c r="G61" s="57">
        <v>2</v>
      </c>
      <c r="H61" s="133"/>
      <c r="I61" s="135"/>
      <c r="J61" s="137"/>
      <c r="K61" s="129"/>
      <c r="L61" s="133"/>
      <c r="M61" s="129">
        <v>2</v>
      </c>
      <c r="N61" s="129">
        <f>SUM(H61:M62)</f>
        <v>2</v>
      </c>
      <c r="O61" s="128"/>
    </row>
    <row r="62" spans="1:15">
      <c r="A62" s="165"/>
      <c r="B62" s="58" t="s">
        <v>88</v>
      </c>
      <c r="C62" s="59" t="s">
        <v>80</v>
      </c>
      <c r="D62" s="132"/>
      <c r="E62" s="22" t="s">
        <v>56</v>
      </c>
      <c r="F62" s="22">
        <v>3</v>
      </c>
      <c r="G62" s="60">
        <v>2</v>
      </c>
      <c r="H62" s="134"/>
      <c r="I62" s="136"/>
      <c r="J62" s="138"/>
      <c r="K62" s="130"/>
      <c r="L62" s="134"/>
      <c r="M62" s="130"/>
      <c r="N62" s="130"/>
      <c r="O62" s="128"/>
    </row>
    <row r="63" spans="1:15">
      <c r="A63" s="151" t="s">
        <v>26</v>
      </c>
      <c r="B63" s="152"/>
      <c r="C63" s="152"/>
      <c r="D63" s="152"/>
      <c r="E63" s="152"/>
      <c r="F63" s="152"/>
      <c r="G63" s="152"/>
      <c r="H63" s="14">
        <f t="shared" ref="H63:N63" si="1">SUM(H50:H62)</f>
        <v>29</v>
      </c>
      <c r="I63" s="15">
        <f t="shared" si="1"/>
        <v>29</v>
      </c>
      <c r="J63" s="14">
        <f t="shared" si="1"/>
        <v>29</v>
      </c>
      <c r="K63" s="13">
        <f t="shared" si="1"/>
        <v>29</v>
      </c>
      <c r="L63" s="14">
        <f t="shared" si="1"/>
        <v>29</v>
      </c>
      <c r="M63" s="13">
        <f t="shared" si="1"/>
        <v>29</v>
      </c>
      <c r="N63" s="13">
        <f t="shared" si="1"/>
        <v>174</v>
      </c>
      <c r="O63" s="69"/>
    </row>
    <row r="64" spans="1:15">
      <c r="A64" s="153" t="s">
        <v>20</v>
      </c>
      <c r="B64" s="154"/>
      <c r="C64" s="154"/>
      <c r="D64" s="154"/>
      <c r="E64" s="154"/>
      <c r="F64" s="154"/>
      <c r="G64" s="155"/>
      <c r="H64" s="17">
        <v>3</v>
      </c>
      <c r="I64" s="18">
        <v>3</v>
      </c>
      <c r="J64" s="17">
        <v>3</v>
      </c>
      <c r="K64" s="16">
        <v>3</v>
      </c>
      <c r="L64" s="17">
        <v>3</v>
      </c>
      <c r="M64" s="16">
        <v>3</v>
      </c>
      <c r="N64" s="16">
        <v>18</v>
      </c>
      <c r="O64" s="70"/>
    </row>
    <row r="65" spans="1:15">
      <c r="A65" s="156" t="s">
        <v>22</v>
      </c>
      <c r="B65" s="157"/>
      <c r="C65" s="157"/>
      <c r="D65" s="157"/>
      <c r="E65" s="157"/>
      <c r="F65" s="157"/>
      <c r="G65" s="157"/>
      <c r="H65" s="17">
        <v>32</v>
      </c>
      <c r="I65" s="18">
        <v>32</v>
      </c>
      <c r="J65" s="17">
        <v>32</v>
      </c>
      <c r="K65" s="16">
        <v>32</v>
      </c>
      <c r="L65" s="17">
        <v>32</v>
      </c>
      <c r="M65" s="16">
        <v>32</v>
      </c>
      <c r="N65" s="16">
        <v>192</v>
      </c>
      <c r="O65" s="70"/>
    </row>
    <row r="66" spans="1:15">
      <c r="A66" s="156" t="s">
        <v>21</v>
      </c>
      <c r="B66" s="157"/>
      <c r="C66" s="157"/>
      <c r="D66" s="157"/>
      <c r="E66" s="157"/>
      <c r="F66" s="157"/>
      <c r="G66" s="157"/>
      <c r="H66" s="17">
        <v>10</v>
      </c>
      <c r="I66" s="18">
        <v>10</v>
      </c>
      <c r="J66" s="17">
        <v>9</v>
      </c>
      <c r="K66" s="16">
        <v>8</v>
      </c>
      <c r="L66" s="17">
        <v>8</v>
      </c>
      <c r="M66" s="16">
        <v>9</v>
      </c>
      <c r="N66" s="71"/>
      <c r="O66" s="70"/>
    </row>
    <row r="67" spans="1:15">
      <c r="A67" s="158" t="s">
        <v>23</v>
      </c>
      <c r="B67" s="159"/>
      <c r="C67" s="159"/>
      <c r="D67" s="159"/>
      <c r="E67" s="159"/>
      <c r="F67" s="159"/>
      <c r="G67" s="159"/>
      <c r="H67" s="160">
        <v>64</v>
      </c>
      <c r="I67" s="160"/>
      <c r="J67" s="148">
        <v>64</v>
      </c>
      <c r="K67" s="148"/>
      <c r="L67" s="148">
        <v>64</v>
      </c>
      <c r="M67" s="148"/>
      <c r="N67" s="72"/>
      <c r="O67" s="73"/>
    </row>
  </sheetData>
  <mergeCells count="150">
    <mergeCell ref="D53:D54"/>
    <mergeCell ref="H53:H54"/>
    <mergeCell ref="I53:I54"/>
    <mergeCell ref="J53:J54"/>
    <mergeCell ref="K53:K54"/>
    <mergeCell ref="L53:L54"/>
    <mergeCell ref="M53:M54"/>
    <mergeCell ref="N53:N54"/>
    <mergeCell ref="N18:N23"/>
    <mergeCell ref="N32:N36"/>
    <mergeCell ref="O18:O23"/>
    <mergeCell ref="C22:D22"/>
    <mergeCell ref="C23:D23"/>
    <mergeCell ref="C17:D17"/>
    <mergeCell ref="B12:B17"/>
    <mergeCell ref="N12:N17"/>
    <mergeCell ref="O12:O17"/>
    <mergeCell ref="C24:D24"/>
    <mergeCell ref="N24:N25"/>
    <mergeCell ref="O24:O25"/>
    <mergeCell ref="C25:D25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N6:N11"/>
    <mergeCell ref="O6:O11"/>
    <mergeCell ref="C49:D49"/>
    <mergeCell ref="B45:B49"/>
    <mergeCell ref="N45:N49"/>
    <mergeCell ref="O45:O49"/>
    <mergeCell ref="C30:D30"/>
    <mergeCell ref="B24:B31"/>
    <mergeCell ref="N26:N31"/>
    <mergeCell ref="O26:O31"/>
    <mergeCell ref="B43:B44"/>
    <mergeCell ref="C43:D43"/>
    <mergeCell ref="N43:N44"/>
    <mergeCell ref="O43:O44"/>
    <mergeCell ref="C44:D44"/>
    <mergeCell ref="C45:D45"/>
    <mergeCell ref="C46:D46"/>
    <mergeCell ref="B37:B42"/>
    <mergeCell ref="C37:D37"/>
    <mergeCell ref="N37:N42"/>
    <mergeCell ref="O37:O42"/>
    <mergeCell ref="C38:D38"/>
    <mergeCell ref="C39:D39"/>
    <mergeCell ref="C28:D28"/>
    <mergeCell ref="J67:K67"/>
    <mergeCell ref="L67:M67"/>
    <mergeCell ref="C47:D47"/>
    <mergeCell ref="C48:D48"/>
    <mergeCell ref="A63:G63"/>
    <mergeCell ref="A64:G64"/>
    <mergeCell ref="A65:G65"/>
    <mergeCell ref="A66:G66"/>
    <mergeCell ref="A67:G67"/>
    <mergeCell ref="H67:I67"/>
    <mergeCell ref="D61:D62"/>
    <mergeCell ref="H61:H62"/>
    <mergeCell ref="I61:I62"/>
    <mergeCell ref="J61:J62"/>
    <mergeCell ref="K61:K62"/>
    <mergeCell ref="L61:L62"/>
    <mergeCell ref="M61:M62"/>
    <mergeCell ref="M55:M56"/>
    <mergeCell ref="B50:G50"/>
    <mergeCell ref="A51:A62"/>
    <mergeCell ref="M57:M58"/>
    <mergeCell ref="A6:A50"/>
    <mergeCell ref="C6:D6"/>
    <mergeCell ref="C7:D7"/>
    <mergeCell ref="H59:H60"/>
    <mergeCell ref="I59:I60"/>
    <mergeCell ref="J59:J60"/>
    <mergeCell ref="K59:K60"/>
    <mergeCell ref="L59:L60"/>
    <mergeCell ref="M59:M60"/>
    <mergeCell ref="N59:N60"/>
    <mergeCell ref="D57:D58"/>
    <mergeCell ref="H57:H58"/>
    <mergeCell ref="I57:I58"/>
    <mergeCell ref="J57:J58"/>
    <mergeCell ref="K57:K58"/>
    <mergeCell ref="L57:L58"/>
    <mergeCell ref="O32:O36"/>
    <mergeCell ref="C33:D33"/>
    <mergeCell ref="C34:D34"/>
    <mergeCell ref="C35:D35"/>
    <mergeCell ref="C36:D36"/>
    <mergeCell ref="O51:O62"/>
    <mergeCell ref="N55:N56"/>
    <mergeCell ref="D55:D56"/>
    <mergeCell ref="H55:H56"/>
    <mergeCell ref="I55:I56"/>
    <mergeCell ref="J55:J56"/>
    <mergeCell ref="K55:K56"/>
    <mergeCell ref="L55:L56"/>
    <mergeCell ref="M51:M52"/>
    <mergeCell ref="N51:N52"/>
    <mergeCell ref="D51:D52"/>
    <mergeCell ref="H51:H52"/>
    <mergeCell ref="I51:I52"/>
    <mergeCell ref="J51:J52"/>
    <mergeCell ref="K51:K52"/>
    <mergeCell ref="L51:L52"/>
    <mergeCell ref="N61:N62"/>
    <mergeCell ref="N57:N58"/>
    <mergeCell ref="D59:D60"/>
    <mergeCell ref="C8:D8"/>
    <mergeCell ref="C9:D9"/>
    <mergeCell ref="C10:D10"/>
    <mergeCell ref="J3:K3"/>
    <mergeCell ref="C29:D29"/>
    <mergeCell ref="C40:D40"/>
    <mergeCell ref="C41:D41"/>
    <mergeCell ref="C42:D42"/>
    <mergeCell ref="B32:B36"/>
    <mergeCell ref="C32:D32"/>
    <mergeCell ref="B6:B11"/>
    <mergeCell ref="C31:D31"/>
    <mergeCell ref="B18:B23"/>
    <mergeCell ref="C26:D26"/>
    <mergeCell ref="C27:D27"/>
    <mergeCell ref="C11:D11"/>
    <mergeCell ref="A1:O1"/>
    <mergeCell ref="L2:O2"/>
    <mergeCell ref="A3:A5"/>
    <mergeCell ref="B3:B5"/>
    <mergeCell ref="C3:C5"/>
    <mergeCell ref="D3:D5"/>
    <mergeCell ref="E3:E5"/>
    <mergeCell ref="F3:F5"/>
    <mergeCell ref="G3:G5"/>
    <mergeCell ref="H3:I3"/>
    <mergeCell ref="L3:M3"/>
    <mergeCell ref="N3:N5"/>
    <mergeCell ref="O3:O5"/>
    <mergeCell ref="H4:H5"/>
    <mergeCell ref="I4:I5"/>
    <mergeCell ref="J4:J5"/>
    <mergeCell ref="K4:K5"/>
    <mergeCell ref="L4:L5"/>
    <mergeCell ref="M4:M5"/>
  </mergeCells>
  <phoneticPr fontId="9" type="noConversion"/>
  <pageMargins left="0.25" right="0.25" top="0.75" bottom="0.75" header="0.3" footer="0.3"/>
  <pageSetup paperSize="9" scale="63" orientation="portrait" copies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입학생 보통과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GIYEONG JEONG</cp:lastModifiedBy>
  <cp:lastPrinted>2025-09-30T23:49:04Z</cp:lastPrinted>
  <dcterms:created xsi:type="dcterms:W3CDTF">2020-03-04T02:26:59Z</dcterms:created>
  <dcterms:modified xsi:type="dcterms:W3CDTF">2025-12-08T00:33:08Z</dcterms:modified>
</cp:coreProperties>
</file>