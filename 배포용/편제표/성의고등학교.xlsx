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교육과정 2024 2027\학운위 심의 후 최종안\"/>
    </mc:Choice>
  </mc:AlternateContent>
  <xr:revisionPtr revIDLastSave="0" documentId="13_ncr:1_{3D47E073-10D4-4F18-AE67-5CC159C349AC}" xr6:coauthVersionLast="47" xr6:coauthVersionMax="47" xr10:uidLastSave="{00000000-0000-0000-0000-000000000000}"/>
  <bookViews>
    <workbookView xWindow="-120" yWindow="-120" windowWidth="29040" windowHeight="15720" tabRatio="681" activeTab="1" xr2:uid="{00000000-000D-0000-FFFF-FFFF00000000}"/>
  </bookViews>
  <sheets>
    <sheet name="2026학년도 입학생" sheetId="35" r:id="rId1"/>
    <sheet name="2026학년도 전학년" sheetId="36" r:id="rId2"/>
  </sheets>
  <definedNames>
    <definedName name="_xlnm.Print_Area" localSheetId="0">'2026학년도 입학생'!$A$1:$O$57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4" i="36" l="1"/>
  <c r="J54" i="36"/>
  <c r="K54" i="36"/>
  <c r="L54" i="36"/>
  <c r="M54" i="36"/>
  <c r="N54" i="36"/>
  <c r="H54" i="36"/>
  <c r="N56" i="36"/>
  <c r="M55" i="36"/>
  <c r="M57" i="36" s="1"/>
  <c r="L55" i="36"/>
  <c r="L57" i="36" s="1"/>
  <c r="L58" i="36" s="1"/>
  <c r="N53" i="36"/>
  <c r="G53" i="36"/>
  <c r="N52" i="36"/>
  <c r="G52" i="36"/>
  <c r="N51" i="36"/>
  <c r="G51" i="36"/>
  <c r="N50" i="36"/>
  <c r="G50" i="36"/>
  <c r="N49" i="36"/>
  <c r="G49" i="36"/>
  <c r="N46" i="36"/>
  <c r="N42" i="36"/>
  <c r="N41" i="36"/>
  <c r="G41" i="36"/>
  <c r="N40" i="36"/>
  <c r="G40" i="36"/>
  <c r="N39" i="36"/>
  <c r="G39" i="36"/>
  <c r="N38" i="36"/>
  <c r="N37" i="36"/>
  <c r="M35" i="36"/>
  <c r="L35" i="36"/>
  <c r="K35" i="36"/>
  <c r="J35" i="36"/>
  <c r="I35" i="36"/>
  <c r="H35" i="36"/>
  <c r="N32" i="36"/>
  <c r="G31" i="36"/>
  <c r="G30" i="36"/>
  <c r="N26" i="36"/>
  <c r="G25" i="36"/>
  <c r="N21" i="36"/>
  <c r="N17" i="36"/>
  <c r="N15" i="36"/>
  <c r="N13" i="36"/>
  <c r="G12" i="36"/>
  <c r="G11" i="36"/>
  <c r="N9" i="36"/>
  <c r="N7" i="36"/>
  <c r="N5" i="36"/>
  <c r="I53" i="35"/>
  <c r="J53" i="35"/>
  <c r="K53" i="35"/>
  <c r="L53" i="35"/>
  <c r="M53" i="35"/>
  <c r="H53" i="35"/>
  <c r="O41" i="35"/>
  <c r="N42" i="35"/>
  <c r="N43" i="35"/>
  <c r="G42" i="35"/>
  <c r="I41" i="35"/>
  <c r="N46" i="35"/>
  <c r="N47" i="35"/>
  <c r="N48" i="35"/>
  <c r="N49" i="35"/>
  <c r="N50" i="35"/>
  <c r="N51" i="35"/>
  <c r="N52" i="35"/>
  <c r="J55" i="36" l="1"/>
  <c r="J57" i="36" s="1"/>
  <c r="N35" i="36"/>
  <c r="H55" i="36"/>
  <c r="I55" i="36"/>
  <c r="I57" i="36" s="1"/>
  <c r="K55" i="36"/>
  <c r="K57" i="36" s="1"/>
  <c r="N55" i="36"/>
  <c r="H57" i="36"/>
  <c r="N39" i="35"/>
  <c r="N40" i="35"/>
  <c r="M41" i="35"/>
  <c r="L41" i="35"/>
  <c r="K41" i="35"/>
  <c r="J41" i="35"/>
  <c r="H41" i="35"/>
  <c r="J58" i="36" l="1"/>
  <c r="H58" i="36"/>
  <c r="N58" i="36" s="1"/>
  <c r="N57" i="36"/>
  <c r="K54" i="35"/>
  <c r="N41" i="35"/>
  <c r="N15" i="35"/>
  <c r="N10" i="35"/>
  <c r="N5" i="35"/>
  <c r="N33" i="35" l="1"/>
  <c r="G37" i="35"/>
  <c r="N38" i="35" l="1"/>
  <c r="N45" i="35" l="1"/>
  <c r="N44" i="35"/>
  <c r="N53" i="35" s="1"/>
  <c r="G34" i="35" l="1"/>
  <c r="G35" i="35"/>
  <c r="G28" i="35"/>
  <c r="G29" i="35"/>
  <c r="G30" i="35"/>
  <c r="G31" i="35"/>
  <c r="N27" i="35"/>
  <c r="N23" i="35"/>
  <c r="G25" i="35"/>
  <c r="G24" i="35"/>
  <c r="N21" i="35"/>
  <c r="G21" i="35"/>
  <c r="N19" i="35"/>
  <c r="G19" i="35"/>
  <c r="G10" i="35"/>
  <c r="G11" i="35"/>
  <c r="G6" i="35"/>
  <c r="G5" i="35"/>
  <c r="N55" i="35" l="1"/>
  <c r="L54" i="35"/>
  <c r="I54" i="35"/>
  <c r="G36" i="35"/>
  <c r="G33" i="35"/>
  <c r="G32" i="35"/>
  <c r="G27" i="35"/>
  <c r="G26" i="35"/>
  <c r="G23" i="35"/>
  <c r="G22" i="35"/>
  <c r="G20" i="35"/>
  <c r="G16" i="35"/>
  <c r="G15" i="35"/>
  <c r="K56" i="35" l="1"/>
  <c r="H54" i="35"/>
  <c r="H56" i="35" s="1"/>
  <c r="M54" i="35"/>
  <c r="M56" i="35" s="1"/>
  <c r="I56" i="35"/>
  <c r="J54" i="35"/>
  <c r="J56" i="35" s="1"/>
  <c r="L56" i="35"/>
  <c r="J57" i="35" l="1"/>
  <c r="L57" i="35"/>
  <c r="N54" i="35"/>
  <c r="H57" i="35"/>
  <c r="N56" i="35"/>
  <c r="N57" i="35" l="1"/>
</calcChain>
</file>

<file path=xl/sharedStrings.xml><?xml version="1.0" encoding="utf-8"?>
<sst xmlns="http://schemas.openxmlformats.org/spreadsheetml/2006/main" count="382" uniqueCount="155">
  <si>
    <t>1학기</t>
  </si>
  <si>
    <t>수 학</t>
  </si>
  <si>
    <t>1학년</t>
  </si>
  <si>
    <t>2학기</t>
  </si>
  <si>
    <t>영 어</t>
  </si>
  <si>
    <t>체 육</t>
  </si>
  <si>
    <t>사 회</t>
  </si>
  <si>
    <t>과 학</t>
  </si>
  <si>
    <t>구분</t>
  </si>
  <si>
    <t>예 술</t>
  </si>
  <si>
    <t>국 어</t>
  </si>
  <si>
    <t>3학년</t>
  </si>
  <si>
    <t>2학년</t>
  </si>
  <si>
    <t>교과(군)</t>
  </si>
  <si>
    <t>창의적 체험활동</t>
  </si>
  <si>
    <t>세 부 교 과 목</t>
  </si>
  <si>
    <t>학교유형: 일반고</t>
    <phoneticPr fontId="1" type="noConversion"/>
  </si>
  <si>
    <t>선택</t>
    <phoneticPr fontId="1" type="noConversion"/>
  </si>
  <si>
    <t>공통</t>
    <phoneticPr fontId="1" type="noConversion"/>
  </si>
  <si>
    <t>일반</t>
    <phoneticPr fontId="1" type="noConversion"/>
  </si>
  <si>
    <t>진로</t>
    <phoneticPr fontId="1" type="noConversion"/>
  </si>
  <si>
    <t>지정</t>
    <phoneticPr fontId="1" type="noConversion"/>
  </si>
  <si>
    <t>과목유형</t>
    <phoneticPr fontId="1" type="noConversion"/>
  </si>
  <si>
    <t>제2외국어</t>
    <phoneticPr fontId="1" type="noConversion"/>
  </si>
  <si>
    <t>음악</t>
    <phoneticPr fontId="1" type="noConversion"/>
  </si>
  <si>
    <t>교양</t>
    <phoneticPr fontId="1" type="noConversion"/>
  </si>
  <si>
    <t>기준
학점</t>
    <phoneticPr fontId="1" type="noConversion"/>
  </si>
  <si>
    <t>운영
학점</t>
    <phoneticPr fontId="1" type="noConversion"/>
  </si>
  <si>
    <t>이수
학점</t>
    <phoneticPr fontId="1" type="noConversion"/>
  </si>
  <si>
    <t>필수
학점</t>
    <phoneticPr fontId="1" type="noConversion"/>
  </si>
  <si>
    <t>이수학점 소계</t>
    <phoneticPr fontId="1" type="noConversion"/>
  </si>
  <si>
    <t>교과 이수학점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</si>
  <si>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</si>
  <si>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</si>
  <si>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지정</t>
    <phoneticPr fontId="1" type="noConversion"/>
  </si>
  <si>
    <t>공통</t>
    <phoneticPr fontId="1" type="noConversion"/>
  </si>
  <si>
    <t>일반</t>
    <phoneticPr fontId="1" type="noConversion"/>
  </si>
  <si>
    <t>융합</t>
    <phoneticPr fontId="1" type="noConversion"/>
  </si>
  <si>
    <t>미술</t>
    <phoneticPr fontId="1" type="noConversion"/>
  </si>
  <si>
    <t>택1</t>
    <phoneticPr fontId="1" type="noConversion"/>
  </si>
  <si>
    <t>성의고등학교</t>
    <phoneticPr fontId="1" type="noConversion"/>
  </si>
  <si>
    <t>음악과 미디어</t>
    <phoneticPr fontId="1" type="noConversion"/>
  </si>
  <si>
    <t>학
교
지
정</t>
    <phoneticPr fontId="1" type="noConversion"/>
  </si>
  <si>
    <t>공통국어1</t>
    <phoneticPr fontId="1" type="noConversion"/>
  </si>
  <si>
    <t>공통국어2</t>
    <phoneticPr fontId="1" type="noConversion"/>
  </si>
  <si>
    <t>공통수학1</t>
    <phoneticPr fontId="1" type="noConversion"/>
  </si>
  <si>
    <t>공통수학2</t>
    <phoneticPr fontId="1" type="noConversion"/>
  </si>
  <si>
    <t>공통영어1</t>
    <phoneticPr fontId="1" type="noConversion"/>
  </si>
  <si>
    <t>공통영어2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</si>
  <si>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</si>
  <si>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</si>
  <si>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</si>
  <si>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</si>
  <si>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</si>
  <si>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</si>
  <si>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</si>
  <si>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</si>
  <si>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체육1</t>
    <phoneticPr fontId="1" type="noConversion"/>
  </si>
  <si>
    <t>체육2</t>
    <phoneticPr fontId="1" type="noConversion"/>
  </si>
  <si>
    <t>스포츠 생활1</t>
    <phoneticPr fontId="1" type="noConversion"/>
  </si>
  <si>
    <t>스포츠 생활2</t>
    <phoneticPr fontId="1" type="noConversion"/>
  </si>
  <si>
    <t>스포츠 과학</t>
    <phoneticPr fontId="1" type="noConversion"/>
  </si>
  <si>
    <t>스포츠 문화</t>
    <phoneticPr fontId="1" type="noConversion"/>
  </si>
  <si>
    <t>미술 감상과 비평</t>
    <phoneticPr fontId="1" type="noConversion"/>
  </si>
  <si>
    <t>2026학년도 입학생 3개년 교육과정 편성표</t>
    <phoneticPr fontId="1" type="noConversion"/>
  </si>
  <si>
    <t>택3</t>
    <phoneticPr fontId="1" type="noConversion"/>
  </si>
  <si>
    <t>문학</t>
    <phoneticPr fontId="1" type="noConversion"/>
  </si>
  <si>
    <t>일반</t>
    <phoneticPr fontId="1" type="noConversion"/>
  </si>
  <si>
    <t>화법과 언어</t>
    <phoneticPr fontId="1" type="noConversion"/>
  </si>
  <si>
    <t>독서와 작문</t>
    <phoneticPr fontId="1" type="noConversion"/>
  </si>
  <si>
    <t>대수</t>
    <phoneticPr fontId="1" type="noConversion"/>
  </si>
  <si>
    <t>미적분Ⅰ</t>
    <phoneticPr fontId="1" type="noConversion"/>
  </si>
  <si>
    <t>확률과 통계</t>
    <phoneticPr fontId="1" type="noConversion"/>
  </si>
  <si>
    <t>영어Ⅰ</t>
    <phoneticPr fontId="1" type="noConversion"/>
  </si>
  <si>
    <t>영어Ⅱ</t>
    <phoneticPr fontId="1" type="noConversion"/>
  </si>
  <si>
    <t>음악 연주와 창작</t>
    <phoneticPr fontId="1" type="noConversion"/>
  </si>
  <si>
    <t>국어/수학/영어</t>
    <phoneticPr fontId="1" type="noConversion"/>
  </si>
  <si>
    <t>택3</t>
    <phoneticPr fontId="1" type="noConversion"/>
  </si>
  <si>
    <t>교양</t>
    <phoneticPr fontId="1" type="noConversion"/>
  </si>
  <si>
    <t>택2</t>
    <phoneticPr fontId="1" type="noConversion"/>
  </si>
  <si>
    <r>
      <rPr>
        <b/>
        <sz val="10"/>
        <color rgb="FF00B050"/>
        <rFont val="맑은 고딕"/>
        <family val="3"/>
        <charset val="129"/>
      </rPr>
      <t>진로</t>
    </r>
    <r>
      <rPr>
        <b/>
        <sz val="10"/>
        <color theme="1"/>
        <rFont val="맑은 고딕"/>
        <family val="3"/>
        <charset val="129"/>
      </rPr>
      <t>/</t>
    </r>
    <r>
      <rPr>
        <b/>
        <sz val="10"/>
        <color rgb="FF0000FF"/>
        <rFont val="맑은 고딕"/>
        <family val="3"/>
        <charset val="129"/>
      </rPr>
      <t>융합</t>
    </r>
    <phoneticPr fontId="1" type="noConversion"/>
  </si>
  <si>
    <t>정보</t>
    <phoneticPr fontId="1" type="noConversion"/>
  </si>
  <si>
    <t>지정</t>
    <phoneticPr fontId="1" type="noConversion"/>
  </si>
  <si>
    <t>일반</t>
    <phoneticPr fontId="1" type="noConversion"/>
  </si>
  <si>
    <t>인공지능기초</t>
    <phoneticPr fontId="1" type="noConversion"/>
  </si>
  <si>
    <t xml:space="preserve">중국어 / 일본어 </t>
    <phoneticPr fontId="1" type="noConversion"/>
  </si>
  <si>
    <r>
      <rPr>
        <b/>
        <sz val="9"/>
        <color rgb="FF0000FF"/>
        <rFont val="맑은 고딕"/>
        <family val="3"/>
        <charset val="129"/>
      </rPr>
      <t>중국 문화</t>
    </r>
    <r>
      <rPr>
        <b/>
        <sz val="9"/>
        <color theme="1"/>
        <rFont val="맑은 고딕"/>
        <family val="3"/>
        <charset val="129"/>
      </rPr>
      <t xml:space="preserve"> / </t>
    </r>
    <r>
      <rPr>
        <b/>
        <sz val="9"/>
        <color rgb="FF00B050"/>
        <rFont val="맑은 고딕"/>
        <family val="3"/>
        <charset val="129"/>
      </rPr>
      <t>일본어 회화</t>
    </r>
    <phoneticPr fontId="1" type="noConversion"/>
  </si>
  <si>
    <r>
      <rPr>
        <b/>
        <sz val="10"/>
        <color rgb="FF0000FF"/>
        <rFont val="맑은 고딕"/>
        <family val="3"/>
        <charset val="129"/>
      </rPr>
      <t>융합</t>
    </r>
    <r>
      <rPr>
        <b/>
        <sz val="10"/>
        <color rgb="FF00B050"/>
        <rFont val="맑은 고딕"/>
        <family val="3"/>
        <charset val="129"/>
      </rPr>
      <t>/진로</t>
    </r>
    <phoneticPr fontId="1" type="noConversion"/>
  </si>
  <si>
    <t>진로와 직업</t>
    <phoneticPr fontId="1" type="noConversion"/>
  </si>
  <si>
    <t>사회/과학/정보
한문</t>
    <phoneticPr fontId="1" type="noConversion"/>
  </si>
  <si>
    <r>
      <t xml:space="preserve">세계 시민과 지리/세계사/사회와 문화/현대사회와 윤리
물리학/화학/생명과학/지구과학
한문 / </t>
    </r>
    <r>
      <rPr>
        <b/>
        <sz val="9"/>
        <color rgb="FF00B050"/>
        <rFont val="맑은 고딕"/>
        <family val="3"/>
        <charset val="129"/>
      </rPr>
      <t>데이터 과학</t>
    </r>
    <phoneticPr fontId="1" type="noConversion"/>
  </si>
  <si>
    <r>
      <t>일반/</t>
    </r>
    <r>
      <rPr>
        <b/>
        <sz val="10"/>
        <color rgb="FF00B050"/>
        <rFont val="맑은 고딕"/>
        <family val="3"/>
        <charset val="129"/>
      </rPr>
      <t>진로</t>
    </r>
    <phoneticPr fontId="1" type="noConversion"/>
  </si>
  <si>
    <r>
      <t>진로</t>
    </r>
    <r>
      <rPr>
        <b/>
        <sz val="10"/>
        <rFont val="맑은 고딕"/>
        <family val="3"/>
        <charset val="129"/>
      </rPr>
      <t>/</t>
    </r>
    <r>
      <rPr>
        <b/>
        <sz val="10"/>
        <color rgb="FF0000FF"/>
        <rFont val="맑은 고딕"/>
        <family val="3"/>
        <charset val="129"/>
      </rPr>
      <t>융합</t>
    </r>
    <phoneticPr fontId="1" type="noConversion"/>
  </si>
  <si>
    <r>
      <rPr>
        <b/>
        <sz val="9"/>
        <color rgb="FF0000FF"/>
        <rFont val="맑은 고딕"/>
        <family val="3"/>
        <charset val="129"/>
      </rPr>
      <t>언어생활 탐구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독서 토론과 글쓰기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 xml:space="preserve">인공지능 수학
</t>
    </r>
    <r>
      <rPr>
        <b/>
        <sz val="9"/>
        <color rgb="FF0000FF"/>
        <rFont val="맑은 고딕"/>
        <family val="3"/>
        <charset val="129"/>
      </rPr>
      <t>수학과 문화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미디어 영어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심화 영어</t>
    </r>
    <phoneticPr fontId="1" type="noConversion"/>
  </si>
  <si>
    <r>
      <t>융합</t>
    </r>
    <r>
      <rPr>
        <b/>
        <sz val="10"/>
        <rFont val="맑은 고딕"/>
        <family val="3"/>
        <charset val="129"/>
      </rPr>
      <t>/</t>
    </r>
    <r>
      <rPr>
        <b/>
        <sz val="10"/>
        <color rgb="FF00B050"/>
        <rFont val="맑은 고딕"/>
        <family val="3"/>
        <charset val="129"/>
      </rPr>
      <t>진로</t>
    </r>
    <phoneticPr fontId="1" type="noConversion"/>
  </si>
  <si>
    <t>사회/과학/정보</t>
    <phoneticPr fontId="1" type="noConversion"/>
  </si>
  <si>
    <r>
      <rPr>
        <b/>
        <sz val="9"/>
        <color rgb="FF00B050"/>
        <rFont val="맑은 고딕"/>
        <family val="3"/>
        <charset val="129"/>
      </rPr>
      <t>교육의 이해</t>
    </r>
    <r>
      <rPr>
        <b/>
        <sz val="9"/>
        <rFont val="맑은 고딕"/>
        <family val="3"/>
        <charset val="129"/>
      </rPr>
      <t xml:space="preserve"> / </t>
    </r>
    <r>
      <rPr>
        <b/>
        <sz val="9"/>
        <color rgb="FF0000FF"/>
        <rFont val="맑은 고딕"/>
        <family val="3"/>
        <charset val="129"/>
      </rPr>
      <t>인간과 경제 활동</t>
    </r>
    <r>
      <rPr>
        <b/>
        <sz val="9"/>
        <rFont val="맑은 고딕"/>
        <family val="3"/>
        <charset val="129"/>
      </rPr>
      <t xml:space="preserve"> / </t>
    </r>
    <r>
      <rPr>
        <b/>
        <sz val="9"/>
        <color rgb="FF0000FF"/>
        <rFont val="맑은 고딕"/>
        <family val="3"/>
        <charset val="129"/>
      </rPr>
      <t>논술</t>
    </r>
    <phoneticPr fontId="1" type="noConversion"/>
  </si>
  <si>
    <r>
      <t>한국지리탐구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동아시아 역사 기행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법과 사회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경제
윤리와 사상
역학과 에너지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물질과 에너지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세포와 물질대사
지구시스템과학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한문 고전 읽기</t>
    </r>
    <r>
      <rPr>
        <b/>
        <sz val="9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소프트웨어와 생활</t>
    </r>
    <phoneticPr fontId="1" type="noConversion"/>
  </si>
  <si>
    <r>
      <t>금융과 경제생활</t>
    </r>
    <r>
      <rPr>
        <b/>
        <sz val="9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여행지리</t>
    </r>
    <r>
      <rPr>
        <b/>
        <sz val="9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기후변화와 지속가능한 세계사회문제탐구</t>
    </r>
    <r>
      <rPr>
        <b/>
        <sz val="9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윤리문제탐구
과학의 역사와 문화</t>
    </r>
    <r>
      <rPr>
        <b/>
        <sz val="9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기후변화와 환경생태
융합과학 탐구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컴퓨터시스템일반(전문)</t>
    </r>
    <phoneticPr fontId="1" type="noConversion"/>
  </si>
  <si>
    <t>택4</t>
    <phoneticPr fontId="1" type="noConversion"/>
  </si>
  <si>
    <r>
      <t xml:space="preserve">삶과 종교 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 xml:space="preserve"> 논리와 사고 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 xml:space="preserve"> 인간과 심리</t>
    </r>
    <phoneticPr fontId="1" type="noConversion"/>
  </si>
  <si>
    <r>
      <t xml:space="preserve">문학과 영상 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 xml:space="preserve"> 기하</t>
    </r>
    <r>
      <rPr>
        <b/>
        <sz val="9"/>
        <rFont val="맑은 고딕"/>
        <family val="3"/>
        <charset val="129"/>
      </rPr>
      <t xml:space="preserve"> /</t>
    </r>
    <r>
      <rPr>
        <b/>
        <sz val="9"/>
        <color rgb="FF00B050"/>
        <rFont val="맑은 고딕"/>
        <family val="3"/>
        <charset val="129"/>
      </rPr>
      <t xml:space="preserve"> 영어 발표와 토론</t>
    </r>
    <phoneticPr fontId="1" type="noConversion"/>
  </si>
  <si>
    <r>
      <rPr>
        <b/>
        <sz val="9"/>
        <color rgb="FF00B050"/>
        <rFont val="맑은 고딕"/>
        <family val="3"/>
        <charset val="129"/>
      </rPr>
      <t>정치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국제 관계의 이해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도시의 미래탐구
인문학과 윤리</t>
    </r>
    <r>
      <rPr>
        <b/>
        <sz val="9"/>
        <color theme="1"/>
        <rFont val="맑은 고딕"/>
        <family val="3"/>
        <charset val="129"/>
      </rPr>
      <t xml:space="preserve">
</t>
    </r>
    <r>
      <rPr>
        <b/>
        <sz val="9"/>
        <color rgb="FF00B050"/>
        <rFont val="맑은 고딕"/>
        <family val="3"/>
        <charset val="129"/>
      </rPr>
      <t>전자기와 양자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화학 반응의 세계</t>
    </r>
    <r>
      <rPr>
        <b/>
        <sz val="9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생물의 유전
행성우주과학</t>
    </r>
    <r>
      <rPr>
        <b/>
        <sz val="9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언어생활과 한자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프로그래밍(전문)</t>
    </r>
    <phoneticPr fontId="1" type="noConversion"/>
  </si>
  <si>
    <r>
      <rPr>
        <b/>
        <sz val="9"/>
        <color rgb="FF00B050"/>
        <rFont val="맑은 고딕"/>
        <family val="3"/>
        <charset val="129"/>
      </rPr>
      <t>주제 탐구 독서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B050"/>
        <rFont val="맑은 고딕"/>
        <family val="3"/>
        <charset val="129"/>
      </rPr>
      <t>미적분Ⅱ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실용통계</t>
    </r>
    <r>
      <rPr>
        <b/>
        <sz val="9"/>
        <color theme="1"/>
        <rFont val="맑은 고딕"/>
        <family val="3"/>
        <charset val="129"/>
      </rPr>
      <t xml:space="preserve">
</t>
    </r>
    <r>
      <rPr>
        <b/>
        <sz val="9"/>
        <rFont val="맑은 고딕"/>
        <family val="3"/>
        <charset val="129"/>
      </rPr>
      <t>영어 독해와 작문</t>
    </r>
    <r>
      <rPr>
        <b/>
        <sz val="9"/>
        <color theme="1"/>
        <rFont val="맑은 고딕"/>
        <family val="3"/>
        <charset val="129"/>
      </rPr>
      <t>/</t>
    </r>
    <r>
      <rPr>
        <b/>
        <sz val="9"/>
        <color rgb="FF0000FF"/>
        <rFont val="맑은 고딕"/>
        <family val="3"/>
        <charset val="129"/>
      </rPr>
      <t>세계 문화와 영어</t>
    </r>
    <phoneticPr fontId="1" type="noConversion"/>
  </si>
  <si>
    <r>
      <rPr>
        <b/>
        <sz val="10"/>
        <rFont val="맑은 고딕"/>
        <family val="3"/>
        <charset val="129"/>
      </rPr>
      <t>일반/</t>
    </r>
    <r>
      <rPr>
        <b/>
        <sz val="10"/>
        <color rgb="FF00B050"/>
        <rFont val="맑은 고딕"/>
        <family val="3"/>
        <charset val="129"/>
      </rPr>
      <t>진로</t>
    </r>
    <r>
      <rPr>
        <b/>
        <sz val="10"/>
        <color theme="1"/>
        <rFont val="맑은 고딕"/>
        <family val="3"/>
        <charset val="129"/>
      </rPr>
      <t>/</t>
    </r>
    <r>
      <rPr>
        <b/>
        <sz val="10"/>
        <color rgb="FF0000FF"/>
        <rFont val="맑은 고딕"/>
        <family val="3"/>
        <charset val="129"/>
      </rPr>
      <t>융합</t>
    </r>
    <phoneticPr fontId="1" type="noConversion"/>
  </si>
  <si>
    <t>2026학년도 전학년 교육과정 편성표</t>
    <phoneticPr fontId="1" type="noConversion"/>
  </si>
  <si>
    <t>영어독해와 작문</t>
    <phoneticPr fontId="1" type="noConversion"/>
  </si>
  <si>
    <t>심화영어독해Ⅰ(전문)</t>
    <phoneticPr fontId="1" type="noConversion"/>
  </si>
  <si>
    <t>한국사</t>
  </si>
  <si>
    <t>스포츠생활1</t>
    <phoneticPr fontId="1" type="noConversion"/>
  </si>
  <si>
    <t>스포츠생활2</t>
    <phoneticPr fontId="1" type="noConversion"/>
  </si>
  <si>
    <t>체육</t>
    <phoneticPr fontId="1" type="noConversion"/>
  </si>
  <si>
    <t>음악연주와창작</t>
    <phoneticPr fontId="1" type="noConversion"/>
  </si>
  <si>
    <t>음악 감상과 비평</t>
    <phoneticPr fontId="1" type="noConversion"/>
  </si>
  <si>
    <t>인공지능 기초</t>
    <phoneticPr fontId="1" type="noConversion"/>
  </si>
  <si>
    <t>학
생
선
택</t>
    <phoneticPr fontId="1" type="noConversion"/>
  </si>
  <si>
    <t>삶과 종교 / 논리와 사고 / 인간과 심리</t>
    <phoneticPr fontId="1" type="noConversion"/>
  </si>
  <si>
    <t>중국어 / 일본어</t>
    <phoneticPr fontId="1" type="noConversion"/>
  </si>
  <si>
    <t>택1</t>
  </si>
  <si>
    <t>중국 문화(융) / 일본어 회화(진)</t>
    <phoneticPr fontId="1" type="noConversion"/>
  </si>
  <si>
    <t>융합/진로</t>
    <phoneticPr fontId="1" type="noConversion"/>
  </si>
  <si>
    <t>국어/영어/수학/
예술</t>
    <phoneticPr fontId="1" type="noConversion"/>
  </si>
  <si>
    <t>심화국어(진)/심화영어Ⅰ(전)/기하(진)
언어와매체/화법과작문</t>
    <phoneticPr fontId="1" type="noConversion"/>
  </si>
  <si>
    <t>진로/일반</t>
    <phoneticPr fontId="1" type="noConversion"/>
  </si>
  <si>
    <t>현대문학감상(전)/심화영어회화Ⅰ(전)/심화수학Ⅰ(전)</t>
    <phoneticPr fontId="1" type="noConversion"/>
  </si>
  <si>
    <t>국어/수학/영어/과학/사회/정보</t>
  </si>
  <si>
    <r>
      <rPr>
        <b/>
        <sz val="10"/>
        <color rgb="FFFF0000"/>
        <rFont val="맑은 고딕"/>
        <family val="3"/>
        <charset val="129"/>
      </rPr>
      <t>독서와 작문(일)/대수(일)/영어Ⅰ(일)</t>
    </r>
    <r>
      <rPr>
        <b/>
        <sz val="10"/>
        <rFont val="맑은 고딕"/>
        <family val="3"/>
        <charset val="129"/>
      </rPr>
      <t>/</t>
    </r>
    <r>
      <rPr>
        <b/>
        <sz val="10"/>
        <color theme="9" tint="-0.249977111117893"/>
        <rFont val="맑은 고딕"/>
        <family val="3"/>
        <charset val="129"/>
      </rPr>
      <t>미디어 영어(융/폐강)</t>
    </r>
    <r>
      <rPr>
        <b/>
        <sz val="10"/>
        <rFont val="맑은 고딕"/>
        <family val="3"/>
        <charset val="129"/>
      </rPr>
      <t>/물리학(일)/화학(일)/</t>
    </r>
    <r>
      <rPr>
        <b/>
        <sz val="10"/>
        <color theme="9" tint="-0.249977111117893"/>
        <rFont val="맑은 고딕"/>
        <family val="3"/>
        <charset val="129"/>
      </rPr>
      <t>동아시아 역사 기행(진/폐강)</t>
    </r>
    <r>
      <rPr>
        <b/>
        <sz val="10"/>
        <rFont val="맑은 고딕"/>
        <family val="3"/>
        <charset val="129"/>
      </rPr>
      <t>/세계시민과 지리(일)/사회와 문화(일)/현대사회와 윤리(일)/정치(진)/</t>
    </r>
    <r>
      <rPr>
        <b/>
        <sz val="10"/>
        <color theme="9" tint="-0.249977111117893"/>
        <rFont val="맑은 고딕"/>
        <family val="3"/>
        <charset val="129"/>
      </rPr>
      <t>소프트웨어와 생활(융/폐강)</t>
    </r>
    <phoneticPr fontId="1" type="noConversion"/>
  </si>
  <si>
    <t>택5</t>
    <phoneticPr fontId="1" type="noConversion"/>
  </si>
  <si>
    <t>일반/융합/진로</t>
    <phoneticPr fontId="1" type="noConversion"/>
  </si>
  <si>
    <t>국어/수학/영어/
과학/사회/정보</t>
    <phoneticPr fontId="1" type="noConversion"/>
  </si>
  <si>
    <r>
      <rPr>
        <b/>
        <sz val="9"/>
        <color rgb="FFFF0000"/>
        <rFont val="맑은 고딕"/>
        <family val="3"/>
        <charset val="129"/>
      </rPr>
      <t>문학(일)</t>
    </r>
    <r>
      <rPr>
        <b/>
        <sz val="9"/>
        <rFont val="맑은 고딕"/>
        <family val="3"/>
        <charset val="129"/>
      </rPr>
      <t>/</t>
    </r>
    <r>
      <rPr>
        <b/>
        <sz val="9"/>
        <color theme="9" tint="-0.249977111117893"/>
        <rFont val="맑은 고딕"/>
        <family val="3"/>
        <charset val="129"/>
      </rPr>
      <t>주제 탐구 독서(진/폐강)</t>
    </r>
    <r>
      <rPr>
        <b/>
        <sz val="9"/>
        <rFont val="맑은 고딕"/>
        <family val="3"/>
        <charset val="129"/>
      </rPr>
      <t>/</t>
    </r>
    <r>
      <rPr>
        <b/>
        <sz val="9"/>
        <color rgb="FFFF0000"/>
        <rFont val="맑은 고딕"/>
        <family val="3"/>
        <charset val="129"/>
      </rPr>
      <t>미적분Ⅰ(일)</t>
    </r>
    <r>
      <rPr>
        <b/>
        <sz val="9"/>
        <rFont val="맑은 고딕"/>
        <family val="3"/>
        <charset val="129"/>
      </rPr>
      <t>/기하(진)/</t>
    </r>
    <r>
      <rPr>
        <b/>
        <sz val="9"/>
        <color rgb="FFFF0000"/>
        <rFont val="맑은 고딕"/>
        <family val="3"/>
        <charset val="129"/>
      </rPr>
      <t>영어Ⅱ(일)</t>
    </r>
    <r>
      <rPr>
        <b/>
        <sz val="9"/>
        <rFont val="맑은 고딕"/>
        <family val="3"/>
        <charset val="129"/>
      </rPr>
      <t>/</t>
    </r>
    <r>
      <rPr>
        <b/>
        <sz val="9"/>
        <color theme="9" tint="-0.249977111117893"/>
        <rFont val="맑은 고딕"/>
        <family val="3"/>
        <charset val="129"/>
      </rPr>
      <t>세계 문화와 영어(융/폐강)</t>
    </r>
    <r>
      <rPr>
        <b/>
        <sz val="9"/>
        <rFont val="맑은 고딕"/>
        <family val="3"/>
        <charset val="129"/>
      </rPr>
      <t>/생명과학(일)/지구과학(일)/</t>
    </r>
    <r>
      <rPr>
        <b/>
        <sz val="9"/>
        <color theme="9" tint="-0.249977111117893"/>
        <rFont val="맑은 고딕"/>
        <family val="3"/>
        <charset val="129"/>
      </rPr>
      <t>한국지리 탐구(진/폐강)</t>
    </r>
    <r>
      <rPr>
        <b/>
        <sz val="9"/>
        <rFont val="맑은 고딕"/>
        <family val="3"/>
        <charset val="129"/>
      </rPr>
      <t>/세계사(일)/법과 사회(진)/경제(진)/윤리와 사상(진)/</t>
    </r>
    <r>
      <rPr>
        <b/>
        <sz val="9"/>
        <color theme="9" tint="-0.249977111117893"/>
        <rFont val="맑은 고딕"/>
        <family val="3"/>
        <charset val="129"/>
      </rPr>
      <t>데이터 과학(진/폐강)</t>
    </r>
    <phoneticPr fontId="1" type="noConversion"/>
  </si>
  <si>
    <t>일반/진로/융합</t>
    <phoneticPr fontId="1" type="noConversion"/>
  </si>
  <si>
    <t>수학/사회/
과학/교양</t>
    <phoneticPr fontId="1" type="noConversion"/>
  </si>
  <si>
    <r>
      <t>수학과제탐구(진)/사회문제탐구(진)/
과학과제연구(전)/</t>
    </r>
    <r>
      <rPr>
        <b/>
        <sz val="10"/>
        <color theme="9" tint="-0.249977111117893"/>
        <rFont val="맑은 고딕"/>
        <family val="3"/>
        <charset val="129"/>
      </rPr>
      <t>정보과학(전/폐강)</t>
    </r>
    <r>
      <rPr>
        <b/>
        <sz val="10"/>
        <rFont val="맑은 고딕"/>
        <family val="3"/>
        <charset val="129"/>
      </rPr>
      <t>/
보건(일)/심리학(일)</t>
    </r>
    <phoneticPr fontId="1" type="noConversion"/>
  </si>
  <si>
    <t>일반/진로</t>
    <phoneticPr fontId="1" type="noConversion"/>
  </si>
  <si>
    <t>사회/과학/
기술가정</t>
    <phoneticPr fontId="1" type="noConversion"/>
  </si>
  <si>
    <t>고전과 윤리(진)/여행지리(진)/국제법(전)/
국제경제(전)/물리학 실험(전)/화학 실험(전)/생명과학 실험(전)/지구과학Ⅱ(진)/
응용프로그래밍개발(전)</t>
    <phoneticPr fontId="1" type="noConversion"/>
  </si>
  <si>
    <t>한문/교양</t>
    <phoneticPr fontId="1" type="noConversion"/>
  </si>
  <si>
    <t>한문Ⅰ/환경</t>
    <phoneticPr fontId="1" type="noConversion"/>
  </si>
  <si>
    <r>
      <t>한국사회의 이해(전)/현대세계의변화(전)/
과학사(진)/</t>
    </r>
    <r>
      <rPr>
        <b/>
        <sz val="10"/>
        <color theme="9" tint="-0.249977111117893"/>
        <rFont val="맑은 고딕"/>
        <family val="3"/>
        <charset val="129"/>
      </rPr>
      <t>융합과학(진/폐강)</t>
    </r>
    <r>
      <rPr>
        <b/>
        <sz val="10"/>
        <rFont val="맑은 고딕"/>
        <family val="3"/>
        <charset val="129"/>
      </rPr>
      <t xml:space="preserve">/
</t>
    </r>
    <r>
      <rPr>
        <b/>
        <sz val="10"/>
        <color theme="9" tint="-0.249977111117893"/>
        <rFont val="맑은 고딕"/>
        <family val="3"/>
        <charset val="129"/>
      </rPr>
      <t>생태와환경(전/폐강)</t>
    </r>
    <r>
      <rPr>
        <b/>
        <sz val="10"/>
        <rFont val="맑은 고딕"/>
        <family val="3"/>
        <charset val="129"/>
      </rPr>
      <t>/</t>
    </r>
    <r>
      <rPr>
        <b/>
        <sz val="10"/>
        <color theme="9" tint="-0.249977111117893"/>
        <rFont val="맑은 고딕"/>
        <family val="3"/>
        <charset val="129"/>
      </rPr>
      <t>디지털논리회로(전/폐강)</t>
    </r>
    <phoneticPr fontId="1" type="noConversion"/>
  </si>
  <si>
    <t>이수단위 소계</t>
    <phoneticPr fontId="1" type="noConversion"/>
  </si>
  <si>
    <t>교과 이수단위 소계</t>
    <phoneticPr fontId="1" type="noConversion"/>
  </si>
  <si>
    <t>학기별 총 이수 단위</t>
  </si>
  <si>
    <t>학년별 총 이수단위</t>
  </si>
  <si>
    <t>※ 학생 선택에 따라 달라질 수 있음. 과목유형의 전문은 과목을 구분하기 위함이고, 진로선택으로 편성됨.</t>
    <phoneticPr fontId="1" type="noConversion"/>
  </si>
  <si>
    <t>정보통신</t>
    <phoneticPr fontId="1" type="noConversion"/>
  </si>
  <si>
    <t>자료구조</t>
    <phoneticPr fontId="1" type="noConversion"/>
  </si>
  <si>
    <t>전문</t>
    <phoneticPr fontId="1" type="noConversion"/>
  </si>
  <si>
    <t>2이상</t>
    <phoneticPr fontId="1" type="noConversion"/>
  </si>
  <si>
    <t>과목</t>
    <phoneticPr fontId="1" type="noConversion"/>
  </si>
  <si>
    <t>기본
학점</t>
    <phoneticPr fontId="1" type="noConversion"/>
  </si>
  <si>
    <t>편성
학점</t>
    <phoneticPr fontId="1" type="noConversion"/>
  </si>
  <si>
    <t>필수
이수
학점</t>
    <phoneticPr fontId="1" type="noConversion"/>
  </si>
  <si>
    <t>증
배
교
육
과
정</t>
    <phoneticPr fontId="1" type="noConversion"/>
  </si>
  <si>
    <t>일부 학생을 대상으로 운영하는 증배 교육과정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</si>
</sst>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33" x14ac:knownFonts="1">
    <font>
      <sz val="11"/>
      <color rgb="FF000000"/>
      <name val="돋움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00B05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8"/>
      <name val="맑은 고딕"/>
      <family val="3"/>
      <charset val="129"/>
    </font>
    <font>
      <b/>
      <sz val="10"/>
      <color theme="9" tint="-0.249977111117893"/>
      <name val="맑은 고딕"/>
      <family val="3"/>
      <charset val="129"/>
    </font>
    <font>
      <b/>
      <sz val="9"/>
      <color theme="9" tint="-0.249977111117893"/>
      <name val="맑은 고딕"/>
      <family val="3"/>
      <charset val="129"/>
    </font>
    <font>
      <b/>
      <sz val="12"/>
      <color rgb="FF000000"/>
      <name val="굴림"/>
      <family val="3"/>
      <charset val="129"/>
    </font>
    <font>
      <b/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5">
    <xf numFmtId="0" fontId="0" fillId="0" borderId="0"/>
    <xf numFmtId="0" fontId="2" fillId="0" borderId="0">
      <alignment vertical="center"/>
    </xf>
    <xf numFmtId="0" fontId="3" fillId="0" borderId="30" applyNumberFormat="0" applyFill="0" applyAlignment="0" applyProtection="0">
      <alignment vertical="center"/>
    </xf>
    <xf numFmtId="0" fontId="4" fillId="2" borderId="31" applyNumberFormat="0" applyAlignment="0" applyProtection="0">
      <alignment vertical="center"/>
    </xf>
    <xf numFmtId="0" fontId="18" fillId="0" borderId="0"/>
  </cellStyleXfs>
  <cellXfs count="289">
    <xf numFmtId="0" fontId="0" fillId="0" borderId="0" xfId="0" applyNumberFormat="1"/>
    <xf numFmtId="0" fontId="0" fillId="0" borderId="0" xfId="0" applyNumberFormat="1"/>
    <xf numFmtId="0" fontId="8" fillId="0" borderId="5" xfId="0" applyNumberFormat="1" applyFont="1" applyFill="1" applyBorder="1" applyAlignment="1" applyProtection="1">
      <alignment horizontal="center" vertical="center"/>
    </xf>
    <xf numFmtId="0" fontId="8" fillId="0" borderId="1" xfId="0" quotePrefix="1" applyNumberFormat="1" applyFont="1" applyFill="1" applyBorder="1" applyAlignment="1" applyProtection="1">
      <alignment horizontal="center" vertical="center"/>
    </xf>
    <xf numFmtId="0" fontId="7" fillId="0" borderId="9" xfId="0" applyNumberFormat="1" applyFont="1" applyFill="1" applyBorder="1" applyAlignment="1" applyProtection="1">
      <alignment horizontal="center" vertical="center"/>
    </xf>
    <xf numFmtId="0" fontId="8" fillId="0" borderId="9" xfId="0" applyNumberFormat="1" applyFont="1" applyFill="1" applyBorder="1" applyAlignment="1" applyProtection="1">
      <alignment horizontal="center" vertical="center" wrapText="1"/>
    </xf>
    <xf numFmtId="0" fontId="8" fillId="0" borderId="10" xfId="0" applyNumberFormat="1" applyFont="1" applyFill="1" applyBorder="1" applyAlignment="1" applyProtection="1">
      <alignment horizontal="center" vertical="center" wrapText="1"/>
    </xf>
    <xf numFmtId="0" fontId="8" fillId="0" borderId="18" xfId="0" applyNumberFormat="1" applyFont="1" applyFill="1" applyBorder="1" applyAlignment="1" applyProtection="1">
      <alignment horizontal="center" vertical="center"/>
    </xf>
    <xf numFmtId="0" fontId="8" fillId="0" borderId="17" xfId="0" applyNumberFormat="1" applyFont="1" applyFill="1" applyBorder="1" applyAlignment="1" applyProtection="1">
      <alignment horizontal="center" vertical="center" wrapText="1"/>
    </xf>
    <xf numFmtId="0" fontId="7" fillId="0" borderId="33" xfId="0" applyNumberFormat="1" applyFont="1" applyFill="1" applyBorder="1" applyAlignment="1" applyProtection="1"/>
    <xf numFmtId="0" fontId="6" fillId="0" borderId="32" xfId="0" applyNumberFormat="1" applyFont="1" applyFill="1" applyBorder="1" applyAlignment="1" applyProtection="1"/>
    <xf numFmtId="0" fontId="6" fillId="0" borderId="33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8" fillId="0" borderId="17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8" fillId="0" borderId="9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8" fillId="0" borderId="21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8" fillId="0" borderId="7" xfId="0" applyNumberFormat="1" applyFont="1" applyFill="1" applyBorder="1" applyAlignment="1" applyProtection="1">
      <alignment horizontal="center"/>
    </xf>
    <xf numFmtId="0" fontId="8" fillId="0" borderId="10" xfId="0" applyNumberFormat="1" applyFont="1" applyFill="1" applyBorder="1" applyAlignment="1" applyProtection="1">
      <alignment horizontal="center"/>
    </xf>
    <xf numFmtId="0" fontId="8" fillId="0" borderId="19" xfId="0" applyNumberFormat="1" applyFont="1" applyFill="1" applyBorder="1" applyAlignment="1" applyProtection="1">
      <alignment horizontal="center" vertical="center" wrapText="1"/>
    </xf>
    <xf numFmtId="0" fontId="7" fillId="0" borderId="19" xfId="0" applyNumberFormat="1" applyFont="1" applyFill="1" applyBorder="1" applyAlignment="1" applyProtection="1">
      <alignment horizontal="center" vertical="center" wrapText="1"/>
    </xf>
    <xf numFmtId="0" fontId="0" fillId="5" borderId="0" xfId="0" applyNumberFormat="1" applyFill="1"/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8" fillId="0" borderId="17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8" fillId="0" borderId="17" xfId="0" applyNumberFormat="1" applyFont="1" applyFill="1" applyBorder="1" applyAlignment="1" applyProtection="1">
      <alignment horizontal="center" vertical="center" wrapText="1"/>
    </xf>
    <xf numFmtId="0" fontId="9" fillId="0" borderId="17" xfId="0" applyNumberFormat="1" applyFont="1" applyFill="1" applyBorder="1" applyAlignment="1" applyProtection="1">
      <alignment horizontal="center" vertical="center" wrapText="1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8" fillId="0" borderId="17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8" fillId="0" borderId="17" xfId="0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3" fillId="0" borderId="19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vertical="center" wrapText="1"/>
    </xf>
    <xf numFmtId="0" fontId="11" fillId="0" borderId="17" xfId="0" applyNumberFormat="1" applyFont="1" applyFill="1" applyBorder="1" applyAlignment="1" applyProtection="1">
      <alignment horizontal="center" vertical="center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16" fillId="0" borderId="17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8" fillId="0" borderId="19" xfId="0" applyNumberFormat="1" applyFont="1" applyFill="1" applyBorder="1" applyAlignment="1" applyProtection="1">
      <alignment horizontal="center" vertical="center"/>
    </xf>
    <xf numFmtId="0" fontId="8" fillId="0" borderId="19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6" borderId="37" xfId="0" applyNumberFormat="1" applyFont="1" applyFill="1" applyBorder="1" applyAlignment="1" applyProtection="1">
      <alignment horizontal="center" vertical="center" wrapText="1"/>
    </xf>
    <xf numFmtId="0" fontId="13" fillId="0" borderId="19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8" fillId="0" borderId="19" xfId="0" applyNumberFormat="1" applyFont="1" applyFill="1" applyBorder="1" applyAlignment="1" applyProtection="1">
      <alignment horizontal="center" vertical="center" wrapText="1"/>
    </xf>
    <xf numFmtId="0" fontId="8" fillId="0" borderId="19" xfId="0" applyNumberFormat="1" applyFont="1" applyFill="1" applyBorder="1" applyAlignment="1" applyProtection="1">
      <alignment horizontal="center" vertical="center"/>
    </xf>
    <xf numFmtId="0" fontId="7" fillId="0" borderId="19" xfId="0" applyNumberFormat="1" applyFont="1" applyFill="1" applyBorder="1" applyAlignment="1" applyProtection="1">
      <alignment horizontal="center" vertical="center"/>
    </xf>
    <xf numFmtId="0" fontId="7" fillId="0" borderId="38" xfId="0" applyNumberFormat="1" applyFont="1" applyFill="1" applyBorder="1" applyAlignment="1" applyProtection="1">
      <alignment horizontal="center" vertical="center" wrapText="1"/>
    </xf>
    <xf numFmtId="0" fontId="8" fillId="0" borderId="9" xfId="0" applyNumberFormat="1" applyFont="1" applyFill="1" applyBorder="1" applyAlignment="1" applyProtection="1">
      <alignment horizontal="center" vertical="center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8" fillId="0" borderId="0" xfId="4"/>
    <xf numFmtId="0" fontId="7" fillId="7" borderId="1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center" vertical="center"/>
    </xf>
    <xf numFmtId="0" fontId="7" fillId="0" borderId="21" xfId="4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7" xfId="4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0" fontId="7" fillId="0" borderId="1" xfId="4" quotePrefix="1" applyFont="1" applyBorder="1" applyAlignment="1">
      <alignment horizontal="center" vertical="center"/>
    </xf>
    <xf numFmtId="0" fontId="17" fillId="0" borderId="1" xfId="4" applyFont="1" applyBorder="1" applyAlignment="1">
      <alignment horizontal="center" vertical="center"/>
    </xf>
    <xf numFmtId="0" fontId="17" fillId="0" borderId="17" xfId="4" applyFont="1" applyBorder="1" applyAlignment="1">
      <alignment horizontal="center" vertical="center"/>
    </xf>
    <xf numFmtId="0" fontId="7" fillId="0" borderId="7" xfId="4" applyFont="1" applyBorder="1" applyAlignment="1">
      <alignment horizontal="center" vertical="center"/>
    </xf>
    <xf numFmtId="0" fontId="17" fillId="0" borderId="1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wrapText="1"/>
    </xf>
    <xf numFmtId="0" fontId="7" fillId="0" borderId="9" xfId="4" applyFont="1" applyBorder="1" applyAlignment="1">
      <alignment horizontal="center" vertical="center"/>
    </xf>
    <xf numFmtId="0" fontId="7" fillId="0" borderId="9" xfId="4" applyFont="1" applyBorder="1" applyAlignment="1">
      <alignment horizontal="center" vertical="center" wrapText="1"/>
    </xf>
    <xf numFmtId="0" fontId="7" fillId="0" borderId="10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/>
    </xf>
    <xf numFmtId="0" fontId="7" fillId="0" borderId="15" xfId="4" applyFont="1" applyBorder="1" applyAlignment="1">
      <alignment horizontal="center" vertical="center" wrapText="1"/>
    </xf>
    <xf numFmtId="0" fontId="7" fillId="0" borderId="20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22" fillId="0" borderId="1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shrinkToFit="1"/>
    </xf>
    <xf numFmtId="0" fontId="13" fillId="0" borderId="15" xfId="4" applyFont="1" applyBorder="1" applyAlignment="1">
      <alignment horizontal="center" vertical="center" wrapText="1"/>
    </xf>
    <xf numFmtId="176" fontId="7" fillId="0" borderId="15" xfId="4" applyNumberFormat="1" applyFont="1" applyBorder="1" applyAlignment="1" applyProtection="1">
      <alignment horizontal="center" vertical="center"/>
      <protection locked="0"/>
    </xf>
    <xf numFmtId="0" fontId="13" fillId="0" borderId="1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0" fontId="8" fillId="0" borderId="7" xfId="4" applyFont="1" applyBorder="1"/>
    <xf numFmtId="0" fontId="8" fillId="0" borderId="10" xfId="4" applyFont="1" applyBorder="1"/>
    <xf numFmtId="0" fontId="7" fillId="0" borderId="9" xfId="4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177" fontId="29" fillId="0" borderId="5" xfId="0" applyNumberFormat="1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0" fontId="30" fillId="0" borderId="17" xfId="0" applyFont="1" applyBorder="1" applyAlignment="1">
      <alignment horizontal="center" vertical="center"/>
    </xf>
    <xf numFmtId="0" fontId="0" fillId="0" borderId="1" xfId="0" applyBorder="1"/>
    <xf numFmtId="177" fontId="30" fillId="0" borderId="17" xfId="0" applyNumberFormat="1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/>
    </xf>
    <xf numFmtId="0" fontId="31" fillId="0" borderId="42" xfId="0" applyFont="1" applyBorder="1" applyAlignment="1">
      <alignment vertical="center"/>
    </xf>
    <xf numFmtId="0" fontId="30" fillId="0" borderId="9" xfId="0" applyFont="1" applyBorder="1" applyAlignment="1">
      <alignment horizontal="center" vertical="center"/>
    </xf>
    <xf numFmtId="0" fontId="0" fillId="0" borderId="48" xfId="0" applyBorder="1"/>
    <xf numFmtId="0" fontId="30" fillId="0" borderId="49" xfId="0" applyFont="1" applyBorder="1" applyAlignment="1">
      <alignment horizontal="center" vertical="center" wrapText="1"/>
    </xf>
    <xf numFmtId="0" fontId="7" fillId="0" borderId="10" xfId="4" applyFont="1" applyBorder="1" applyAlignment="1">
      <alignment horizontal="center" vertical="center"/>
    </xf>
    <xf numFmtId="0" fontId="7" fillId="0" borderId="21" xfId="0" applyNumberFormat="1" applyFont="1" applyFill="1" applyBorder="1" applyAlignment="1" applyProtection="1">
      <alignment horizontal="center" vertical="center"/>
    </xf>
    <xf numFmtId="0" fontId="7" fillId="0" borderId="19" xfId="0" applyNumberFormat="1" applyFont="1" applyFill="1" applyBorder="1" applyAlignment="1" applyProtection="1">
      <alignment horizontal="center" vertical="center"/>
    </xf>
    <xf numFmtId="0" fontId="7" fillId="0" borderId="17" xfId="0" applyNumberFormat="1" applyFont="1" applyFill="1" applyBorder="1" applyAlignment="1" applyProtection="1">
      <alignment horizontal="center" vertical="center"/>
    </xf>
    <xf numFmtId="0" fontId="7" fillId="0" borderId="9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9" fillId="0" borderId="17" xfId="0" applyNumberFormat="1" applyFont="1" applyFill="1" applyBorder="1" applyAlignment="1" applyProtection="1">
      <alignment horizontal="center" vertical="center" wrapText="1"/>
    </xf>
    <xf numFmtId="0" fontId="9" fillId="4" borderId="19" xfId="0" applyNumberFormat="1" applyFont="1" applyFill="1" applyBorder="1" applyAlignment="1" applyProtection="1">
      <alignment horizontal="center" vertical="center" wrapText="1"/>
    </xf>
    <xf numFmtId="0" fontId="9" fillId="4" borderId="17" xfId="0" applyNumberFormat="1" applyFont="1" applyFill="1" applyBorder="1" applyAlignment="1" applyProtection="1">
      <alignment horizontal="center" vertical="center" wrapText="1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7" fillId="0" borderId="38" xfId="0" applyNumberFormat="1" applyFont="1" applyFill="1" applyBorder="1" applyAlignment="1" applyProtection="1">
      <alignment horizontal="center" vertical="center" wrapText="1"/>
    </xf>
    <xf numFmtId="0" fontId="7" fillId="0" borderId="29" xfId="0" applyNumberFormat="1" applyFont="1" applyFill="1" applyBorder="1" applyAlignment="1" applyProtection="1">
      <alignment horizontal="center" vertical="center" wrapText="1"/>
    </xf>
    <xf numFmtId="0" fontId="8" fillId="0" borderId="9" xfId="0" applyNumberFormat="1" applyFont="1" applyFill="1" applyBorder="1" applyAlignment="1" applyProtection="1">
      <alignment horizontal="center" vertical="center"/>
    </xf>
    <xf numFmtId="0" fontId="7" fillId="0" borderId="23" xfId="0" applyNumberFormat="1" applyFont="1" applyFill="1" applyBorder="1" applyAlignment="1" applyProtection="1">
      <alignment horizontal="center" vertical="center" wrapText="1"/>
    </xf>
    <xf numFmtId="0" fontId="7" fillId="0" borderId="24" xfId="0" applyNumberFormat="1" applyFont="1" applyFill="1" applyBorder="1" applyAlignment="1" applyProtection="1">
      <alignment horizontal="center" vertical="center" wrapText="1"/>
    </xf>
    <xf numFmtId="0" fontId="7" fillId="0" borderId="25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/>
    </xf>
    <xf numFmtId="0" fontId="10" fillId="0" borderId="27" xfId="0" applyNumberFormat="1" applyFont="1" applyFill="1" applyBorder="1" applyAlignment="1" applyProtection="1">
      <alignment horizontal="center" vertical="center"/>
    </xf>
    <xf numFmtId="0" fontId="10" fillId="0" borderId="28" xfId="0" applyNumberFormat="1" applyFont="1" applyFill="1" applyBorder="1" applyAlignment="1" applyProtection="1">
      <alignment horizontal="center" vertical="center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7" fillId="3" borderId="11" xfId="0" applyNumberFormat="1" applyFont="1" applyFill="1" applyBorder="1" applyAlignment="1" applyProtection="1">
      <alignment horizontal="center" vertical="center" wrapText="1"/>
    </xf>
    <xf numFmtId="0" fontId="7" fillId="3" borderId="6" xfId="0" applyNumberFormat="1" applyFont="1" applyFill="1" applyBorder="1" applyAlignment="1" applyProtection="1">
      <alignment horizontal="center" vertical="center"/>
    </xf>
    <xf numFmtId="0" fontId="7" fillId="3" borderId="5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3" borderId="5" xfId="0" applyNumberFormat="1" applyFont="1" applyFill="1" applyBorder="1" applyAlignment="1" applyProtection="1">
      <alignment horizontal="center" vertical="center" wrapText="1"/>
    </xf>
    <xf numFmtId="0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34" xfId="0" applyNumberFormat="1" applyFont="1" applyFill="1" applyBorder="1" applyAlignment="1" applyProtection="1">
      <alignment horizontal="center" vertical="center" wrapText="1"/>
    </xf>
    <xf numFmtId="0" fontId="7" fillId="3" borderId="7" xfId="0" applyNumberFormat="1" applyFont="1" applyFill="1" applyBorder="1" applyAlignment="1" applyProtection="1">
      <alignment horizontal="center" vertical="center"/>
    </xf>
    <xf numFmtId="0" fontId="7" fillId="0" borderId="35" xfId="0" applyNumberFormat="1" applyFont="1" applyFill="1" applyBorder="1" applyAlignment="1" applyProtection="1">
      <alignment horizontal="right"/>
    </xf>
    <xf numFmtId="0" fontId="7" fillId="0" borderId="36" xfId="0" applyNumberFormat="1" applyFont="1" applyFill="1" applyBorder="1" applyAlignment="1" applyProtection="1">
      <alignment horizontal="right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6" xfId="0" applyNumberFormat="1" applyFont="1" applyFill="1" applyBorder="1" applyAlignment="1" applyProtection="1">
      <alignment horizontal="center" vertical="center" wrapText="1"/>
    </xf>
    <xf numFmtId="0" fontId="7" fillId="0" borderId="39" xfId="0" applyNumberFormat="1" applyFont="1" applyFill="1" applyBorder="1" applyAlignment="1" applyProtection="1">
      <alignment horizontal="center" vertical="center" wrapText="1"/>
    </xf>
    <xf numFmtId="0" fontId="7" fillId="0" borderId="8" xfId="0" applyNumberFormat="1" applyFont="1" applyFill="1" applyBorder="1" applyAlignment="1" applyProtection="1">
      <alignment horizontal="center" vertical="center" wrapText="1"/>
    </xf>
    <xf numFmtId="0" fontId="8" fillId="6" borderId="22" xfId="0" applyNumberFormat="1" applyFont="1" applyFill="1" applyBorder="1" applyAlignment="1" applyProtection="1">
      <alignment horizontal="center" vertical="center" wrapText="1"/>
    </xf>
    <xf numFmtId="0" fontId="8" fillId="6" borderId="20" xfId="0" applyNumberFormat="1" applyFont="1" applyFill="1" applyBorder="1" applyAlignment="1" applyProtection="1">
      <alignment horizontal="center" vertical="center" wrapText="1"/>
    </xf>
    <xf numFmtId="0" fontId="8" fillId="6" borderId="18" xfId="0" applyNumberFormat="1" applyFont="1" applyFill="1" applyBorder="1" applyAlignment="1" applyProtection="1">
      <alignment horizontal="center" vertical="center" wrapText="1"/>
    </xf>
    <xf numFmtId="0" fontId="8" fillId="0" borderId="22" xfId="0" applyNumberFormat="1" applyFont="1" applyFill="1" applyBorder="1" applyAlignment="1" applyProtection="1">
      <alignment horizontal="center" vertical="center" wrapText="1"/>
    </xf>
    <xf numFmtId="0" fontId="8" fillId="0" borderId="20" xfId="0" applyNumberFormat="1" applyFont="1" applyFill="1" applyBorder="1" applyAlignment="1" applyProtection="1">
      <alignment horizontal="center" vertical="center" wrapText="1"/>
    </xf>
    <xf numFmtId="0" fontId="8" fillId="0" borderId="18" xfId="0" applyNumberFormat="1" applyFont="1" applyFill="1" applyBorder="1" applyAlignment="1" applyProtection="1">
      <alignment horizontal="center" vertical="center" wrapText="1"/>
    </xf>
    <xf numFmtId="0" fontId="8" fillId="0" borderId="21" xfId="0" applyNumberFormat="1" applyFont="1" applyFill="1" applyBorder="1" applyAlignment="1" applyProtection="1">
      <alignment horizontal="center" vertical="center"/>
    </xf>
    <xf numFmtId="0" fontId="8" fillId="0" borderId="19" xfId="0" applyNumberFormat="1" applyFont="1" applyFill="1" applyBorder="1" applyAlignment="1" applyProtection="1">
      <alignment horizontal="center" vertical="center"/>
    </xf>
    <xf numFmtId="0" fontId="8" fillId="0" borderId="17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8" fillId="0" borderId="16" xfId="0" applyNumberFormat="1" applyFont="1" applyFill="1" applyBorder="1" applyAlignment="1" applyProtection="1">
      <alignment horizontal="center" vertical="center" wrapText="1"/>
    </xf>
    <xf numFmtId="0" fontId="8" fillId="0" borderId="15" xfId="0" applyNumberFormat="1" applyFont="1" applyFill="1" applyBorder="1" applyAlignment="1" applyProtection="1">
      <alignment horizontal="center" vertical="center" wrapText="1"/>
    </xf>
    <xf numFmtId="0" fontId="8" fillId="0" borderId="19" xfId="0" applyNumberFormat="1" applyFont="1" applyFill="1" applyBorder="1" applyAlignment="1" applyProtection="1">
      <alignment horizontal="center" vertical="center" wrapText="1"/>
    </xf>
    <xf numFmtId="0" fontId="8" fillId="0" borderId="17" xfId="0" applyNumberFormat="1" applyFont="1" applyFill="1" applyBorder="1" applyAlignment="1" applyProtection="1">
      <alignment horizontal="center" vertical="center" wrapText="1"/>
    </xf>
    <xf numFmtId="0" fontId="7" fillId="0" borderId="19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6" borderId="16" xfId="0" applyNumberFormat="1" applyFont="1" applyFill="1" applyBorder="1" applyAlignment="1" applyProtection="1">
      <alignment horizontal="center" vertical="center"/>
    </xf>
    <xf numFmtId="0" fontId="8" fillId="6" borderId="20" xfId="0" applyNumberFormat="1" applyFont="1" applyFill="1" applyBorder="1" applyAlignment="1" applyProtection="1">
      <alignment horizontal="center" vertical="center"/>
    </xf>
    <xf numFmtId="0" fontId="8" fillId="6" borderId="18" xfId="0" applyNumberFormat="1" applyFont="1" applyFill="1" applyBorder="1" applyAlignment="1" applyProtection="1">
      <alignment horizontal="center" vertical="center"/>
    </xf>
    <xf numFmtId="0" fontId="8" fillId="0" borderId="16" xfId="0" applyNumberFormat="1" applyFont="1" applyFill="1" applyBorder="1" applyAlignment="1" applyProtection="1">
      <alignment horizontal="center" vertical="center"/>
    </xf>
    <xf numFmtId="0" fontId="8" fillId="0" borderId="20" xfId="0" applyNumberFormat="1" applyFont="1" applyFill="1" applyBorder="1" applyAlignment="1" applyProtection="1">
      <alignment horizontal="center" vertical="center"/>
    </xf>
    <xf numFmtId="0" fontId="8" fillId="0" borderId="18" xfId="0" applyNumberFormat="1" applyFont="1" applyFill="1" applyBorder="1" applyAlignment="1" applyProtection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26" fillId="8" borderId="32" xfId="0" applyFont="1" applyFill="1" applyBorder="1" applyAlignment="1">
      <alignment horizontal="center" vertical="center"/>
    </xf>
    <xf numFmtId="0" fontId="26" fillId="8" borderId="33" xfId="0" applyFont="1" applyFill="1" applyBorder="1" applyAlignment="1">
      <alignment horizontal="center" vertical="center"/>
    </xf>
    <xf numFmtId="0" fontId="26" fillId="8" borderId="46" xfId="0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 wrapText="1"/>
    </xf>
    <xf numFmtId="0" fontId="27" fillId="9" borderId="6" xfId="0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0" fontId="28" fillId="10" borderId="15" xfId="0" applyFont="1" applyFill="1" applyBorder="1" applyAlignment="1">
      <alignment horizontal="center" vertical="center"/>
    </xf>
    <xf numFmtId="0" fontId="28" fillId="10" borderId="19" xfId="0" applyFont="1" applyFill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/>
    </xf>
    <xf numFmtId="0" fontId="27" fillId="9" borderId="7" xfId="0" applyFont="1" applyFill="1" applyBorder="1" applyAlignment="1">
      <alignment horizontal="center" vertical="center" wrapText="1"/>
    </xf>
    <xf numFmtId="0" fontId="27" fillId="9" borderId="7" xfId="0" applyFont="1" applyFill="1" applyBorder="1" applyAlignment="1">
      <alignment horizontal="center" vertical="center"/>
    </xf>
    <xf numFmtId="0" fontId="27" fillId="9" borderId="16" xfId="0" applyFont="1" applyFill="1" applyBorder="1" applyAlignment="1">
      <alignment horizontal="center" vertical="center"/>
    </xf>
    <xf numFmtId="176" fontId="7" fillId="0" borderId="15" xfId="4" applyNumberFormat="1" applyFont="1" applyBorder="1" applyAlignment="1">
      <alignment horizontal="center" vertical="center" wrapText="1"/>
    </xf>
    <xf numFmtId="0" fontId="7" fillId="0" borderId="19" xfId="4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7" fillId="0" borderId="9" xfId="4" applyFont="1" applyBorder="1" applyAlignment="1">
      <alignment horizontal="center" vertical="center"/>
    </xf>
    <xf numFmtId="0" fontId="25" fillId="0" borderId="33" xfId="4" applyFont="1" applyBorder="1" applyAlignment="1">
      <alignment horizontal="center" vertical="center"/>
    </xf>
    <xf numFmtId="0" fontId="7" fillId="0" borderId="23" xfId="4" applyFont="1" applyBorder="1" applyAlignment="1">
      <alignment horizontal="center" vertical="center" wrapText="1"/>
    </xf>
    <xf numFmtId="0" fontId="7" fillId="0" borderId="24" xfId="4" applyFont="1" applyBorder="1" applyAlignment="1">
      <alignment horizontal="center" vertical="center" wrapText="1"/>
    </xf>
    <xf numFmtId="0" fontId="7" fillId="0" borderId="25" xfId="4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10" fillId="0" borderId="4" xfId="4" applyFont="1" applyBorder="1" applyAlignment="1">
      <alignment horizontal="center" vertical="center" wrapText="1"/>
    </xf>
    <xf numFmtId="0" fontId="10" fillId="0" borderId="26" xfId="4" applyFont="1" applyBorder="1" applyAlignment="1">
      <alignment horizontal="center" vertical="center"/>
    </xf>
    <xf numFmtId="0" fontId="10" fillId="0" borderId="27" xfId="4" applyFont="1" applyBorder="1" applyAlignment="1">
      <alignment horizontal="center" vertical="center"/>
    </xf>
    <xf numFmtId="0" fontId="10" fillId="0" borderId="28" xfId="4" applyFont="1" applyBorder="1" applyAlignment="1">
      <alignment horizontal="center" vertical="center"/>
    </xf>
    <xf numFmtId="0" fontId="10" fillId="0" borderId="23" xfId="4" applyFont="1" applyBorder="1" applyAlignment="1">
      <alignment horizontal="center" vertical="center" wrapText="1"/>
    </xf>
    <xf numFmtId="0" fontId="10" fillId="0" borderId="24" xfId="4" applyFont="1" applyBorder="1" applyAlignment="1">
      <alignment horizontal="center" vertical="center" wrapText="1"/>
    </xf>
    <xf numFmtId="0" fontId="10" fillId="0" borderId="25" xfId="4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/>
    </xf>
    <xf numFmtId="0" fontId="17" fillId="0" borderId="17" xfId="4" applyFont="1" applyBorder="1" applyAlignment="1">
      <alignment horizontal="center" vertical="center"/>
    </xf>
    <xf numFmtId="0" fontId="7" fillId="0" borderId="15" xfId="4" applyFont="1" applyBorder="1" applyAlignment="1">
      <alignment horizontal="center" vertical="center"/>
    </xf>
    <xf numFmtId="0" fontId="7" fillId="0" borderId="19" xfId="4" applyFont="1" applyBorder="1" applyAlignment="1">
      <alignment horizontal="center" vertical="center"/>
    </xf>
    <xf numFmtId="0" fontId="7" fillId="0" borderId="17" xfId="4" applyFont="1" applyBorder="1" applyAlignment="1">
      <alignment horizontal="center" vertical="center"/>
    </xf>
    <xf numFmtId="176" fontId="7" fillId="0" borderId="15" xfId="4" applyNumberFormat="1" applyFont="1" applyBorder="1" applyAlignment="1" applyProtection="1">
      <alignment horizontal="center" vertical="center"/>
      <protection locked="0"/>
    </xf>
    <xf numFmtId="176" fontId="7" fillId="0" borderId="19" xfId="4" applyNumberFormat="1" applyFont="1" applyBorder="1" applyAlignment="1" applyProtection="1">
      <alignment horizontal="center" vertical="center"/>
      <protection locked="0"/>
    </xf>
    <xf numFmtId="176" fontId="7" fillId="0" borderId="17" xfId="4" applyNumberFormat="1" applyFont="1" applyBorder="1" applyAlignment="1" applyProtection="1">
      <alignment horizontal="center" vertical="center"/>
      <protection locked="0"/>
    </xf>
    <xf numFmtId="0" fontId="7" fillId="0" borderId="15" xfId="4" applyFont="1" applyBorder="1" applyAlignment="1">
      <alignment horizontal="center" vertical="center" wrapText="1"/>
    </xf>
    <xf numFmtId="0" fontId="13" fillId="0" borderId="15" xfId="4" applyFont="1" applyBorder="1" applyAlignment="1">
      <alignment horizontal="center" vertical="center" wrapText="1"/>
    </xf>
    <xf numFmtId="0" fontId="13" fillId="0" borderId="19" xfId="4" applyFont="1" applyBorder="1" applyAlignment="1">
      <alignment horizontal="center" vertical="center" wrapText="1"/>
    </xf>
    <xf numFmtId="0" fontId="13" fillId="0" borderId="17" xfId="4" applyFont="1" applyBorder="1" applyAlignment="1">
      <alignment horizontal="center" vertical="center" wrapText="1"/>
    </xf>
    <xf numFmtId="0" fontId="17" fillId="0" borderId="19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shrinkToFit="1"/>
    </xf>
    <xf numFmtId="0" fontId="17" fillId="0" borderId="19" xfId="4" applyFont="1" applyBorder="1" applyAlignment="1">
      <alignment horizontal="center" vertical="center" shrinkToFit="1"/>
    </xf>
    <xf numFmtId="0" fontId="17" fillId="0" borderId="17" xfId="4" applyFont="1" applyBorder="1" applyAlignment="1">
      <alignment horizontal="center" vertical="center" shrinkToFit="1"/>
    </xf>
    <xf numFmtId="0" fontId="7" fillId="0" borderId="7" xfId="4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 wrapText="1"/>
    </xf>
    <xf numFmtId="0" fontId="7" fillId="0" borderId="41" xfId="4" applyFont="1" applyBorder="1" applyAlignment="1">
      <alignment horizontal="center" vertical="center" wrapText="1"/>
    </xf>
    <xf numFmtId="0" fontId="7" fillId="0" borderId="38" xfId="4" applyFont="1" applyBorder="1" applyAlignment="1">
      <alignment horizontal="center" vertical="center" wrapText="1"/>
    </xf>
    <xf numFmtId="0" fontId="7" fillId="0" borderId="29" xfId="4" applyFont="1" applyBorder="1" applyAlignment="1">
      <alignment horizontal="center" vertical="center" wrapText="1"/>
    </xf>
    <xf numFmtId="0" fontId="7" fillId="0" borderId="22" xfId="4" applyFont="1" applyBorder="1" applyAlignment="1">
      <alignment horizontal="center" vertical="center" wrapText="1"/>
    </xf>
    <xf numFmtId="0" fontId="7" fillId="0" borderId="20" xfId="4" applyFont="1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 wrapText="1"/>
    </xf>
    <xf numFmtId="0" fontId="7" fillId="0" borderId="11" xfId="4" applyFont="1" applyBorder="1" applyAlignment="1">
      <alignment horizontal="center" vertical="center" wrapText="1"/>
    </xf>
    <xf numFmtId="0" fontId="7" fillId="0" borderId="6" xfId="4" applyFont="1" applyBorder="1" applyAlignment="1">
      <alignment horizontal="center" vertical="center" wrapText="1"/>
    </xf>
    <xf numFmtId="0" fontId="7" fillId="0" borderId="8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wrapText="1" shrinkToFit="1"/>
    </xf>
    <xf numFmtId="0" fontId="7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/>
    </xf>
    <xf numFmtId="0" fontId="7" fillId="0" borderId="7" xfId="4" applyFont="1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7" fillId="0" borderId="21" xfId="4" applyFont="1" applyBorder="1" applyAlignment="1">
      <alignment horizontal="center" vertical="center"/>
    </xf>
    <xf numFmtId="0" fontId="19" fillId="0" borderId="12" xfId="4" applyFont="1" applyBorder="1" applyAlignment="1">
      <alignment horizontal="center" vertical="center"/>
    </xf>
    <xf numFmtId="0" fontId="19" fillId="0" borderId="13" xfId="4" applyFont="1" applyBorder="1" applyAlignment="1">
      <alignment horizontal="center" vertical="center"/>
    </xf>
    <xf numFmtId="0" fontId="19" fillId="0" borderId="14" xfId="4" applyFont="1" applyBorder="1" applyAlignment="1">
      <alignment horizontal="center" vertical="center"/>
    </xf>
    <xf numFmtId="0" fontId="20" fillId="0" borderId="2" xfId="4" applyFont="1" applyBorder="1" applyAlignment="1">
      <alignment horizontal="left"/>
    </xf>
    <xf numFmtId="0" fontId="20" fillId="0" borderId="3" xfId="4" applyFont="1" applyBorder="1" applyAlignment="1">
      <alignment horizontal="left"/>
    </xf>
    <xf numFmtId="0" fontId="20" fillId="0" borderId="3" xfId="4" applyFont="1" applyBorder="1" applyAlignment="1">
      <alignment horizontal="right"/>
    </xf>
    <xf numFmtId="0" fontId="20" fillId="0" borderId="40" xfId="4" applyFont="1" applyBorder="1" applyAlignment="1">
      <alignment horizontal="right"/>
    </xf>
    <xf numFmtId="0" fontId="7" fillId="7" borderId="6" xfId="4" applyFont="1" applyFill="1" applyBorder="1" applyAlignment="1">
      <alignment horizontal="center" vertical="center" wrapText="1"/>
    </xf>
    <xf numFmtId="0" fontId="7" fillId="7" borderId="6" xfId="4" applyFont="1" applyFill="1" applyBorder="1" applyAlignment="1">
      <alignment horizontal="center" vertical="center"/>
    </xf>
    <xf numFmtId="0" fontId="7" fillId="7" borderId="1" xfId="4" applyFont="1" applyFill="1" applyBorder="1" applyAlignment="1">
      <alignment horizontal="center" vertical="center"/>
    </xf>
    <xf numFmtId="0" fontId="7" fillId="7" borderId="1" xfId="4" applyFont="1" applyFill="1" applyBorder="1" applyAlignment="1">
      <alignment horizontal="center" vertical="center" wrapText="1"/>
    </xf>
    <xf numFmtId="0" fontId="7" fillId="7" borderId="7" xfId="4" applyFont="1" applyFill="1" applyBorder="1" applyAlignment="1">
      <alignment horizontal="center" vertical="center" wrapText="1"/>
    </xf>
    <xf numFmtId="0" fontId="7" fillId="7" borderId="7" xfId="4" applyFont="1" applyFill="1" applyBorder="1" applyAlignment="1">
      <alignment horizontal="center" vertical="center"/>
    </xf>
  </cellXfs>
  <cellStyles count="5">
    <cellStyle name="제목 1 2" xfId="2" xr:uid="{00000000-0005-0000-0000-000000000000}"/>
    <cellStyle name="출력 2" xfId="3" xr:uid="{00000000-0005-0000-0000-000001000000}"/>
    <cellStyle name="표준" xfId="0" builtinId="0"/>
    <cellStyle name="표준 2" xfId="1" xr:uid="{00000000-0005-0000-0000-000003000000}"/>
    <cellStyle name="표준 3" xfId="4" xr:uid="{8B6ECF94-5ED5-4671-BDAA-8F6A179E9949}"/>
  </cellStyles>
  <dxfs count="0"/>
  <tableStyles count="0" defaultTableStyle="TableStyleMedium9" defaultPivotStyle="PivotStyleLight16"/>
  <colors>
    <mruColors>
      <color rgb="FF0000FF"/>
      <color rgb="FF00FF00"/>
      <color rgb="FFFF00FF"/>
      <color rgb="FFCCFFFF"/>
      <color rgb="FF66FFFF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7"/>
  <sheetViews>
    <sheetView view="pageBreakPreview" topLeftCell="A7" zoomScale="115" zoomScaleNormal="80" zoomScaleSheetLayoutView="115" workbookViewId="0">
      <selection activeCell="H12" sqref="H12"/>
    </sheetView>
  </sheetViews>
  <sheetFormatPr defaultColWidth="8.88671875" defaultRowHeight="13.5" x14ac:dyDescent="0.15"/>
  <cols>
    <col min="1" max="1" width="3.5546875" style="1" customWidth="1"/>
    <col min="2" max="2" width="9" style="1" customWidth="1"/>
    <col min="3" max="3" width="34.44140625" style="1" customWidth="1"/>
    <col min="4" max="4" width="7.77734375" style="1" customWidth="1"/>
    <col min="5" max="5" width="8.21875" style="1" customWidth="1"/>
    <col min="6" max="13" width="4.77734375" style="1" customWidth="1"/>
    <col min="14" max="14" width="5.77734375" style="1" customWidth="1"/>
    <col min="15" max="15" width="5.44140625" style="1" customWidth="1"/>
    <col min="16" max="16384" width="8.88671875" style="1"/>
  </cols>
  <sheetData>
    <row r="1" spans="1:15" ht="39.75" customHeight="1" thickBot="1" x14ac:dyDescent="0.2">
      <c r="A1" s="160" t="s">
        <v>64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2"/>
    </row>
    <row r="2" spans="1:15" ht="24" customHeight="1" thickBot="1" x14ac:dyDescent="0.35">
      <c r="A2" s="10" t="s">
        <v>16</v>
      </c>
      <c r="B2" s="11"/>
      <c r="C2" s="9"/>
      <c r="D2" s="171" t="s">
        <v>40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2"/>
    </row>
    <row r="3" spans="1:15" ht="20.100000000000001" customHeight="1" x14ac:dyDescent="0.15">
      <c r="A3" s="163" t="s">
        <v>8</v>
      </c>
      <c r="B3" s="165" t="s">
        <v>13</v>
      </c>
      <c r="C3" s="167" t="s">
        <v>15</v>
      </c>
      <c r="D3" s="167" t="s">
        <v>17</v>
      </c>
      <c r="E3" s="167" t="s">
        <v>22</v>
      </c>
      <c r="F3" s="167" t="s">
        <v>26</v>
      </c>
      <c r="G3" s="167" t="s">
        <v>27</v>
      </c>
      <c r="H3" s="165" t="s">
        <v>2</v>
      </c>
      <c r="I3" s="165"/>
      <c r="J3" s="165" t="s">
        <v>12</v>
      </c>
      <c r="K3" s="165"/>
      <c r="L3" s="165" t="s">
        <v>11</v>
      </c>
      <c r="M3" s="165"/>
      <c r="N3" s="167" t="s">
        <v>28</v>
      </c>
      <c r="O3" s="169" t="s">
        <v>29</v>
      </c>
    </row>
    <row r="4" spans="1:15" ht="20.100000000000001" customHeight="1" thickBot="1" x14ac:dyDescent="0.2">
      <c r="A4" s="164"/>
      <c r="B4" s="166"/>
      <c r="C4" s="168"/>
      <c r="D4" s="168"/>
      <c r="E4" s="168"/>
      <c r="F4" s="168"/>
      <c r="G4" s="168"/>
      <c r="H4" s="22" t="s">
        <v>0</v>
      </c>
      <c r="I4" s="22" t="s">
        <v>3</v>
      </c>
      <c r="J4" s="22" t="s">
        <v>0</v>
      </c>
      <c r="K4" s="22" t="s">
        <v>3</v>
      </c>
      <c r="L4" s="22" t="s">
        <v>0</v>
      </c>
      <c r="M4" s="22" t="s">
        <v>3</v>
      </c>
      <c r="N4" s="166"/>
      <c r="O4" s="170"/>
    </row>
    <row r="5" spans="1:15" ht="21.95" customHeight="1" x14ac:dyDescent="0.15">
      <c r="A5" s="173" t="s">
        <v>42</v>
      </c>
      <c r="B5" s="133" t="s">
        <v>10</v>
      </c>
      <c r="C5" s="2" t="s">
        <v>43</v>
      </c>
      <c r="D5" s="2" t="s">
        <v>21</v>
      </c>
      <c r="E5" s="2" t="s">
        <v>18</v>
      </c>
      <c r="F5" s="2">
        <v>4</v>
      </c>
      <c r="G5" s="23">
        <f>SUM(H5:M5)</f>
        <v>4</v>
      </c>
      <c r="H5" s="2">
        <v>4</v>
      </c>
      <c r="I5" s="2"/>
      <c r="J5" s="2"/>
      <c r="K5" s="2"/>
      <c r="L5" s="2"/>
      <c r="M5" s="2"/>
      <c r="N5" s="183">
        <f>SUM(H5:M9)</f>
        <v>20</v>
      </c>
      <c r="O5" s="180">
        <v>8</v>
      </c>
    </row>
    <row r="6" spans="1:15" ht="21.95" customHeight="1" x14ac:dyDescent="0.15">
      <c r="A6" s="145"/>
      <c r="B6" s="134"/>
      <c r="C6" s="14" t="s">
        <v>44</v>
      </c>
      <c r="D6" s="14" t="s">
        <v>34</v>
      </c>
      <c r="E6" s="14" t="s">
        <v>35</v>
      </c>
      <c r="F6" s="14">
        <v>4</v>
      </c>
      <c r="G6" s="16">
        <f t="shared" ref="G6" si="0">SUM(H6:M6)</f>
        <v>4</v>
      </c>
      <c r="H6" s="14"/>
      <c r="I6" s="14">
        <v>4</v>
      </c>
      <c r="J6" s="14"/>
      <c r="K6" s="14"/>
      <c r="L6" s="14"/>
      <c r="M6" s="14"/>
      <c r="N6" s="184"/>
      <c r="O6" s="181"/>
    </row>
    <row r="7" spans="1:15" ht="21.95" customHeight="1" x14ac:dyDescent="0.15">
      <c r="A7" s="145"/>
      <c r="B7" s="134"/>
      <c r="C7" s="55" t="s">
        <v>66</v>
      </c>
      <c r="D7" s="43" t="s">
        <v>21</v>
      </c>
      <c r="E7" s="43" t="s">
        <v>67</v>
      </c>
      <c r="F7" s="43">
        <v>4</v>
      </c>
      <c r="G7" s="43">
        <v>4</v>
      </c>
      <c r="H7" s="43"/>
      <c r="I7" s="43"/>
      <c r="J7" s="43">
        <v>4</v>
      </c>
      <c r="K7" s="43"/>
      <c r="L7" s="43"/>
      <c r="M7" s="43"/>
      <c r="N7" s="184"/>
      <c r="O7" s="181"/>
    </row>
    <row r="8" spans="1:15" ht="21.95" customHeight="1" x14ac:dyDescent="0.15">
      <c r="A8" s="145"/>
      <c r="B8" s="134"/>
      <c r="C8" s="55" t="s">
        <v>68</v>
      </c>
      <c r="D8" s="43" t="s">
        <v>21</v>
      </c>
      <c r="E8" s="43" t="s">
        <v>67</v>
      </c>
      <c r="F8" s="43">
        <v>4</v>
      </c>
      <c r="G8" s="43">
        <v>4</v>
      </c>
      <c r="H8" s="43"/>
      <c r="I8" s="43"/>
      <c r="J8" s="43"/>
      <c r="K8" s="43">
        <v>4</v>
      </c>
      <c r="L8" s="43"/>
      <c r="M8" s="43"/>
      <c r="N8" s="184"/>
      <c r="O8" s="181"/>
    </row>
    <row r="9" spans="1:15" ht="21.95" customHeight="1" x14ac:dyDescent="0.15">
      <c r="A9" s="145"/>
      <c r="B9" s="135"/>
      <c r="C9" s="55" t="s">
        <v>69</v>
      </c>
      <c r="D9" s="43" t="s">
        <v>21</v>
      </c>
      <c r="E9" s="43" t="s">
        <v>67</v>
      </c>
      <c r="F9" s="43">
        <v>4</v>
      </c>
      <c r="G9" s="43">
        <v>4</v>
      </c>
      <c r="H9" s="43"/>
      <c r="I9" s="43"/>
      <c r="J9" s="43"/>
      <c r="K9" s="43"/>
      <c r="L9" s="43">
        <v>4</v>
      </c>
      <c r="M9" s="43"/>
      <c r="N9" s="185"/>
      <c r="O9" s="182"/>
    </row>
    <row r="10" spans="1:15" ht="21.95" customHeight="1" x14ac:dyDescent="0.15">
      <c r="A10" s="174"/>
      <c r="B10" s="186" t="s">
        <v>1</v>
      </c>
      <c r="C10" s="16" t="s">
        <v>45</v>
      </c>
      <c r="D10" s="16" t="s">
        <v>21</v>
      </c>
      <c r="E10" s="16" t="s">
        <v>18</v>
      </c>
      <c r="F10" s="16">
        <v>4</v>
      </c>
      <c r="G10" s="14">
        <f t="shared" ref="G10:G36" si="1">SUM(H10:M10)</f>
        <v>3</v>
      </c>
      <c r="H10" s="16">
        <v>3</v>
      </c>
      <c r="I10" s="16"/>
      <c r="J10" s="16"/>
      <c r="K10" s="16"/>
      <c r="L10" s="16"/>
      <c r="M10" s="16"/>
      <c r="N10" s="190">
        <f>SUM(H10:M14)</f>
        <v>18</v>
      </c>
      <c r="O10" s="189">
        <v>8</v>
      </c>
    </row>
    <row r="11" spans="1:15" ht="21.95" customHeight="1" x14ac:dyDescent="0.15">
      <c r="A11" s="174"/>
      <c r="B11" s="134"/>
      <c r="C11" s="16" t="s">
        <v>46</v>
      </c>
      <c r="D11" s="16" t="s">
        <v>34</v>
      </c>
      <c r="E11" s="14" t="s">
        <v>35</v>
      </c>
      <c r="F11" s="16">
        <v>4</v>
      </c>
      <c r="G11" s="14">
        <f t="shared" si="1"/>
        <v>3</v>
      </c>
      <c r="H11" s="16"/>
      <c r="I11" s="16">
        <v>3</v>
      </c>
      <c r="J11" s="16"/>
      <c r="K11" s="16"/>
      <c r="L11" s="16"/>
      <c r="M11" s="16"/>
      <c r="N11" s="191"/>
      <c r="O11" s="181"/>
    </row>
    <row r="12" spans="1:15" ht="21.95" customHeight="1" x14ac:dyDescent="0.15">
      <c r="A12" s="174"/>
      <c r="B12" s="134"/>
      <c r="C12" s="12" t="s">
        <v>70</v>
      </c>
      <c r="D12" s="48" t="s">
        <v>21</v>
      </c>
      <c r="E12" s="43" t="s">
        <v>67</v>
      </c>
      <c r="F12" s="48">
        <v>4</v>
      </c>
      <c r="G12" s="43">
        <v>4</v>
      </c>
      <c r="H12" s="48"/>
      <c r="I12" s="48"/>
      <c r="J12" s="48">
        <v>4</v>
      </c>
      <c r="K12" s="48"/>
      <c r="L12" s="48"/>
      <c r="M12" s="48"/>
      <c r="N12" s="191"/>
      <c r="O12" s="181"/>
    </row>
    <row r="13" spans="1:15" ht="21.95" customHeight="1" x14ac:dyDescent="0.15">
      <c r="A13" s="174"/>
      <c r="B13" s="134"/>
      <c r="C13" s="12" t="s">
        <v>71</v>
      </c>
      <c r="D13" s="48" t="s">
        <v>21</v>
      </c>
      <c r="E13" s="43" t="s">
        <v>67</v>
      </c>
      <c r="F13" s="48">
        <v>4</v>
      </c>
      <c r="G13" s="43">
        <v>4</v>
      </c>
      <c r="H13" s="48"/>
      <c r="I13" s="48"/>
      <c r="J13" s="48"/>
      <c r="K13" s="48">
        <v>4</v>
      </c>
      <c r="L13" s="48"/>
      <c r="M13" s="48"/>
      <c r="N13" s="191"/>
      <c r="O13" s="181"/>
    </row>
    <row r="14" spans="1:15" ht="21.95" customHeight="1" x14ac:dyDescent="0.15">
      <c r="A14" s="174"/>
      <c r="B14" s="135"/>
      <c r="C14" s="12" t="s">
        <v>72</v>
      </c>
      <c r="D14" s="48" t="s">
        <v>21</v>
      </c>
      <c r="E14" s="43" t="s">
        <v>67</v>
      </c>
      <c r="F14" s="48">
        <v>4</v>
      </c>
      <c r="G14" s="43">
        <v>4</v>
      </c>
      <c r="H14" s="48"/>
      <c r="I14" s="48"/>
      <c r="J14" s="48"/>
      <c r="K14" s="48"/>
      <c r="L14" s="48">
        <v>4</v>
      </c>
      <c r="M14" s="48"/>
      <c r="N14" s="192"/>
      <c r="O14" s="182"/>
    </row>
    <row r="15" spans="1:15" ht="21.95" customHeight="1" x14ac:dyDescent="0.15">
      <c r="A15" s="174"/>
      <c r="B15" s="142" t="s">
        <v>4</v>
      </c>
      <c r="C15" s="16" t="s">
        <v>47</v>
      </c>
      <c r="D15" s="16" t="s">
        <v>21</v>
      </c>
      <c r="E15" s="16" t="s">
        <v>18</v>
      </c>
      <c r="F15" s="16">
        <v>4</v>
      </c>
      <c r="G15" s="14">
        <f t="shared" si="1"/>
        <v>4</v>
      </c>
      <c r="H15" s="16">
        <v>4</v>
      </c>
      <c r="I15" s="16"/>
      <c r="J15" s="16"/>
      <c r="K15" s="16"/>
      <c r="L15" s="16"/>
      <c r="M15" s="16"/>
      <c r="N15" s="188">
        <f>SUM(H15:L18)</f>
        <v>16</v>
      </c>
      <c r="O15" s="189">
        <v>8</v>
      </c>
    </row>
    <row r="16" spans="1:15" ht="21.95" customHeight="1" x14ac:dyDescent="0.15">
      <c r="A16" s="174"/>
      <c r="B16" s="193"/>
      <c r="C16" s="16" t="s">
        <v>48</v>
      </c>
      <c r="D16" s="16" t="s">
        <v>21</v>
      </c>
      <c r="E16" s="14" t="s">
        <v>18</v>
      </c>
      <c r="F16" s="16">
        <v>4</v>
      </c>
      <c r="G16" s="14">
        <f t="shared" si="1"/>
        <v>4</v>
      </c>
      <c r="H16" s="16"/>
      <c r="I16" s="16">
        <v>4</v>
      </c>
      <c r="J16" s="16"/>
      <c r="K16" s="16"/>
      <c r="L16" s="16"/>
      <c r="M16" s="16"/>
      <c r="N16" s="184"/>
      <c r="O16" s="181"/>
    </row>
    <row r="17" spans="1:15" ht="21.95" customHeight="1" x14ac:dyDescent="0.15">
      <c r="A17" s="174"/>
      <c r="B17" s="193"/>
      <c r="C17" s="12" t="s">
        <v>73</v>
      </c>
      <c r="D17" s="48" t="s">
        <v>21</v>
      </c>
      <c r="E17" s="43" t="s">
        <v>67</v>
      </c>
      <c r="F17" s="48">
        <v>4</v>
      </c>
      <c r="G17" s="43">
        <v>4</v>
      </c>
      <c r="H17" s="48"/>
      <c r="I17" s="48"/>
      <c r="J17" s="48">
        <v>4</v>
      </c>
      <c r="K17" s="48"/>
      <c r="L17" s="48"/>
      <c r="M17" s="48"/>
      <c r="N17" s="184"/>
      <c r="O17" s="181"/>
    </row>
    <row r="18" spans="1:15" ht="21.95" customHeight="1" x14ac:dyDescent="0.15">
      <c r="A18" s="174"/>
      <c r="B18" s="143"/>
      <c r="C18" s="12" t="s">
        <v>74</v>
      </c>
      <c r="D18" s="48" t="s">
        <v>21</v>
      </c>
      <c r="E18" s="43" t="s">
        <v>67</v>
      </c>
      <c r="F18" s="48">
        <v>4</v>
      </c>
      <c r="G18" s="43">
        <v>4</v>
      </c>
      <c r="H18" s="48"/>
      <c r="I18" s="48"/>
      <c r="J18" s="48"/>
      <c r="K18" s="48">
        <v>4</v>
      </c>
      <c r="L18" s="48"/>
      <c r="M18" s="48"/>
      <c r="N18" s="185"/>
      <c r="O18" s="182"/>
    </row>
    <row r="19" spans="1:15" ht="21.95" customHeight="1" x14ac:dyDescent="0.15">
      <c r="A19" s="174"/>
      <c r="B19" s="186" t="s">
        <v>6</v>
      </c>
      <c r="C19" s="12" t="s">
        <v>49</v>
      </c>
      <c r="D19" s="16" t="s">
        <v>21</v>
      </c>
      <c r="E19" s="16" t="s">
        <v>35</v>
      </c>
      <c r="F19" s="16">
        <v>3</v>
      </c>
      <c r="G19" s="14">
        <f t="shared" si="1"/>
        <v>3</v>
      </c>
      <c r="H19" s="16">
        <v>3</v>
      </c>
      <c r="I19" s="16"/>
      <c r="J19" s="16"/>
      <c r="K19" s="16"/>
      <c r="L19" s="16"/>
      <c r="M19" s="16"/>
      <c r="N19" s="188">
        <f>SUM(H19:M20)</f>
        <v>6</v>
      </c>
      <c r="O19" s="189">
        <v>6</v>
      </c>
    </row>
    <row r="20" spans="1:15" ht="21.95" customHeight="1" x14ac:dyDescent="0.15">
      <c r="A20" s="174"/>
      <c r="B20" s="134"/>
      <c r="C20" s="12" t="s">
        <v>50</v>
      </c>
      <c r="D20" s="16" t="s">
        <v>21</v>
      </c>
      <c r="E20" s="16" t="s">
        <v>18</v>
      </c>
      <c r="F20" s="16">
        <v>3</v>
      </c>
      <c r="G20" s="14">
        <f t="shared" si="1"/>
        <v>3</v>
      </c>
      <c r="H20" s="16"/>
      <c r="I20" s="16">
        <v>3</v>
      </c>
      <c r="J20" s="16"/>
      <c r="K20" s="3"/>
      <c r="L20" s="16"/>
      <c r="M20" s="16"/>
      <c r="N20" s="185"/>
      <c r="O20" s="182"/>
    </row>
    <row r="21" spans="1:15" ht="21.95" customHeight="1" x14ac:dyDescent="0.15">
      <c r="A21" s="174"/>
      <c r="B21" s="134"/>
      <c r="C21" s="12" t="s">
        <v>51</v>
      </c>
      <c r="D21" s="16" t="s">
        <v>21</v>
      </c>
      <c r="E21" s="16" t="s">
        <v>18</v>
      </c>
      <c r="F21" s="16">
        <v>4</v>
      </c>
      <c r="G21" s="14">
        <f t="shared" si="1"/>
        <v>3</v>
      </c>
      <c r="H21" s="16">
        <v>3</v>
      </c>
      <c r="I21" s="16"/>
      <c r="J21" s="16"/>
      <c r="K21" s="3"/>
      <c r="L21" s="16"/>
      <c r="M21" s="16"/>
      <c r="N21" s="188">
        <f>SUM(H21:M22)</f>
        <v>6</v>
      </c>
      <c r="O21" s="189">
        <v>8</v>
      </c>
    </row>
    <row r="22" spans="1:15" ht="21.95" customHeight="1" x14ac:dyDescent="0.15">
      <c r="A22" s="174"/>
      <c r="B22" s="135"/>
      <c r="C22" s="12" t="s">
        <v>52</v>
      </c>
      <c r="D22" s="16" t="s">
        <v>21</v>
      </c>
      <c r="E22" s="16" t="s">
        <v>18</v>
      </c>
      <c r="F22" s="16">
        <v>4</v>
      </c>
      <c r="G22" s="14">
        <f t="shared" si="1"/>
        <v>3</v>
      </c>
      <c r="H22" s="16"/>
      <c r="I22" s="16">
        <v>3</v>
      </c>
      <c r="J22" s="16"/>
      <c r="K22" s="16"/>
      <c r="L22" s="3"/>
      <c r="M22" s="3"/>
      <c r="N22" s="185"/>
      <c r="O22" s="182"/>
    </row>
    <row r="23" spans="1:15" ht="21.95" customHeight="1" x14ac:dyDescent="0.15">
      <c r="A23" s="174"/>
      <c r="B23" s="194" t="s">
        <v>7</v>
      </c>
      <c r="C23" s="12" t="s">
        <v>53</v>
      </c>
      <c r="D23" s="16" t="s">
        <v>21</v>
      </c>
      <c r="E23" s="16" t="s">
        <v>18</v>
      </c>
      <c r="F23" s="16">
        <v>4</v>
      </c>
      <c r="G23" s="14">
        <f t="shared" si="1"/>
        <v>3</v>
      </c>
      <c r="H23" s="16">
        <v>3</v>
      </c>
      <c r="I23" s="16"/>
      <c r="J23" s="16"/>
      <c r="K23" s="16"/>
      <c r="L23" s="3"/>
      <c r="M23" s="3"/>
      <c r="N23" s="159">
        <f>SUM(H23:M26)</f>
        <v>8</v>
      </c>
      <c r="O23" s="187">
        <v>10</v>
      </c>
    </row>
    <row r="24" spans="1:15" ht="21.95" customHeight="1" x14ac:dyDescent="0.15">
      <c r="A24" s="174"/>
      <c r="B24" s="194"/>
      <c r="C24" s="12" t="s">
        <v>54</v>
      </c>
      <c r="D24" s="16" t="s">
        <v>21</v>
      </c>
      <c r="E24" s="16" t="s">
        <v>18</v>
      </c>
      <c r="F24" s="16">
        <v>4</v>
      </c>
      <c r="G24" s="14">
        <f t="shared" si="1"/>
        <v>3</v>
      </c>
      <c r="H24" s="16"/>
      <c r="I24" s="16">
        <v>3</v>
      </c>
      <c r="J24" s="16"/>
      <c r="K24" s="16"/>
      <c r="L24" s="3"/>
      <c r="M24" s="3"/>
      <c r="N24" s="159"/>
      <c r="O24" s="187"/>
    </row>
    <row r="25" spans="1:15" ht="21.95" customHeight="1" x14ac:dyDescent="0.15">
      <c r="A25" s="174"/>
      <c r="B25" s="194"/>
      <c r="C25" s="51" t="s">
        <v>55</v>
      </c>
      <c r="D25" s="16" t="s">
        <v>21</v>
      </c>
      <c r="E25" s="16" t="s">
        <v>18</v>
      </c>
      <c r="F25" s="16">
        <v>1</v>
      </c>
      <c r="G25" s="14">
        <f t="shared" si="1"/>
        <v>1</v>
      </c>
      <c r="H25" s="16">
        <v>1</v>
      </c>
      <c r="I25" s="16"/>
      <c r="J25" s="16"/>
      <c r="K25" s="16"/>
      <c r="L25" s="3"/>
      <c r="M25" s="3"/>
      <c r="N25" s="159"/>
      <c r="O25" s="187"/>
    </row>
    <row r="26" spans="1:15" ht="21.95" customHeight="1" x14ac:dyDescent="0.15">
      <c r="A26" s="174"/>
      <c r="B26" s="194"/>
      <c r="C26" s="51" t="s">
        <v>56</v>
      </c>
      <c r="D26" s="16" t="s">
        <v>21</v>
      </c>
      <c r="E26" s="16" t="s">
        <v>18</v>
      </c>
      <c r="F26" s="16">
        <v>1</v>
      </c>
      <c r="G26" s="14">
        <f t="shared" si="1"/>
        <v>1</v>
      </c>
      <c r="H26" s="16"/>
      <c r="I26" s="16">
        <v>1</v>
      </c>
      <c r="J26" s="16"/>
      <c r="K26" s="16"/>
      <c r="L26" s="3"/>
      <c r="M26" s="3"/>
      <c r="N26" s="159"/>
      <c r="O26" s="187"/>
    </row>
    <row r="27" spans="1:15" ht="21.95" customHeight="1" x14ac:dyDescent="0.15">
      <c r="A27" s="174"/>
      <c r="B27" s="137" t="s">
        <v>5</v>
      </c>
      <c r="C27" s="51" t="s">
        <v>57</v>
      </c>
      <c r="D27" s="16" t="s">
        <v>21</v>
      </c>
      <c r="E27" s="14" t="s">
        <v>19</v>
      </c>
      <c r="F27" s="16">
        <v>3</v>
      </c>
      <c r="G27" s="14">
        <f t="shared" si="1"/>
        <v>2</v>
      </c>
      <c r="H27" s="16">
        <v>2</v>
      </c>
      <c r="I27" s="16"/>
      <c r="J27" s="16"/>
      <c r="K27" s="16"/>
      <c r="L27" s="16"/>
      <c r="M27" s="16"/>
      <c r="N27" s="195">
        <f>SUM(H27:M32)</f>
        <v>10</v>
      </c>
      <c r="O27" s="187">
        <v>10</v>
      </c>
    </row>
    <row r="28" spans="1:15" ht="21.95" customHeight="1" x14ac:dyDescent="0.15">
      <c r="A28" s="174"/>
      <c r="B28" s="137"/>
      <c r="C28" s="51" t="s">
        <v>58</v>
      </c>
      <c r="D28" s="16" t="s">
        <v>21</v>
      </c>
      <c r="E28" s="14" t="s">
        <v>36</v>
      </c>
      <c r="F28" s="16">
        <v>3</v>
      </c>
      <c r="G28" s="14">
        <f t="shared" si="1"/>
        <v>2</v>
      </c>
      <c r="H28" s="16"/>
      <c r="I28" s="16">
        <v>2</v>
      </c>
      <c r="J28" s="16"/>
      <c r="K28" s="16"/>
      <c r="L28" s="16"/>
      <c r="M28" s="16"/>
      <c r="N28" s="195"/>
      <c r="O28" s="187"/>
    </row>
    <row r="29" spans="1:15" ht="21.95" customHeight="1" x14ac:dyDescent="0.15">
      <c r="A29" s="174"/>
      <c r="B29" s="137"/>
      <c r="C29" s="52" t="s">
        <v>62</v>
      </c>
      <c r="D29" s="16" t="s">
        <v>21</v>
      </c>
      <c r="E29" s="14" t="s">
        <v>20</v>
      </c>
      <c r="F29" s="16">
        <v>2</v>
      </c>
      <c r="G29" s="14">
        <f t="shared" si="1"/>
        <v>1</v>
      </c>
      <c r="H29" s="16"/>
      <c r="I29" s="16"/>
      <c r="J29" s="16">
        <v>1</v>
      </c>
      <c r="K29" s="16"/>
      <c r="L29" s="16"/>
      <c r="M29" s="16"/>
      <c r="N29" s="195"/>
      <c r="O29" s="187"/>
    </row>
    <row r="30" spans="1:15" ht="21.95" customHeight="1" x14ac:dyDescent="0.15">
      <c r="A30" s="174"/>
      <c r="B30" s="137"/>
      <c r="C30" s="51" t="s">
        <v>61</v>
      </c>
      <c r="D30" s="16" t="s">
        <v>21</v>
      </c>
      <c r="E30" s="14" t="s">
        <v>20</v>
      </c>
      <c r="F30" s="16">
        <v>2</v>
      </c>
      <c r="G30" s="14">
        <f t="shared" si="1"/>
        <v>1</v>
      </c>
      <c r="H30" s="16"/>
      <c r="I30" s="16"/>
      <c r="J30" s="16"/>
      <c r="K30" s="16">
        <v>1</v>
      </c>
      <c r="L30" s="16"/>
      <c r="M30" s="16"/>
      <c r="N30" s="195"/>
      <c r="O30" s="187"/>
    </row>
    <row r="31" spans="1:15" ht="21.95" customHeight="1" x14ac:dyDescent="0.15">
      <c r="A31" s="174"/>
      <c r="B31" s="137"/>
      <c r="C31" s="51" t="s">
        <v>59</v>
      </c>
      <c r="D31" s="16" t="s">
        <v>21</v>
      </c>
      <c r="E31" s="14" t="s">
        <v>37</v>
      </c>
      <c r="F31" s="16">
        <v>3</v>
      </c>
      <c r="G31" s="14">
        <f t="shared" si="1"/>
        <v>2</v>
      </c>
      <c r="H31" s="16"/>
      <c r="I31" s="16"/>
      <c r="J31" s="16"/>
      <c r="K31" s="16"/>
      <c r="L31" s="16">
        <v>2</v>
      </c>
      <c r="M31" s="16"/>
      <c r="N31" s="195"/>
      <c r="O31" s="187"/>
    </row>
    <row r="32" spans="1:15" ht="21.95" customHeight="1" x14ac:dyDescent="0.15">
      <c r="A32" s="174"/>
      <c r="B32" s="137"/>
      <c r="C32" s="51" t="s">
        <v>60</v>
      </c>
      <c r="D32" s="16" t="s">
        <v>21</v>
      </c>
      <c r="E32" s="14" t="s">
        <v>37</v>
      </c>
      <c r="F32" s="16">
        <v>3</v>
      </c>
      <c r="G32" s="14">
        <f t="shared" si="1"/>
        <v>2</v>
      </c>
      <c r="H32" s="16"/>
      <c r="I32" s="16"/>
      <c r="J32" s="16"/>
      <c r="K32" s="16"/>
      <c r="L32" s="16"/>
      <c r="M32" s="16">
        <v>2</v>
      </c>
      <c r="N32" s="195"/>
      <c r="O32" s="187"/>
    </row>
    <row r="33" spans="1:19" ht="21.95" customHeight="1" x14ac:dyDescent="0.15">
      <c r="A33" s="174"/>
      <c r="B33" s="142" t="s">
        <v>9</v>
      </c>
      <c r="C33" s="51" t="s">
        <v>24</v>
      </c>
      <c r="D33" s="16" t="s">
        <v>21</v>
      </c>
      <c r="E33" s="14" t="s">
        <v>19</v>
      </c>
      <c r="F33" s="16">
        <v>3</v>
      </c>
      <c r="G33" s="14">
        <f t="shared" si="1"/>
        <v>2</v>
      </c>
      <c r="H33" s="16">
        <v>2</v>
      </c>
      <c r="I33" s="16"/>
      <c r="J33" s="16"/>
      <c r="K33" s="16"/>
      <c r="L33" s="16"/>
      <c r="M33" s="16"/>
      <c r="N33" s="190">
        <f>SUM(H33:M37)</f>
        <v>10</v>
      </c>
      <c r="O33" s="199">
        <v>10</v>
      </c>
    </row>
    <row r="34" spans="1:19" ht="21.95" customHeight="1" x14ac:dyDescent="0.15">
      <c r="A34" s="174"/>
      <c r="B34" s="193"/>
      <c r="C34" s="51" t="s">
        <v>75</v>
      </c>
      <c r="D34" s="16" t="s">
        <v>21</v>
      </c>
      <c r="E34" s="14" t="s">
        <v>20</v>
      </c>
      <c r="F34" s="16">
        <v>3</v>
      </c>
      <c r="G34" s="14">
        <f t="shared" si="1"/>
        <v>2</v>
      </c>
      <c r="H34" s="16"/>
      <c r="I34" s="16">
        <v>2</v>
      </c>
      <c r="J34" s="16"/>
      <c r="K34" s="16"/>
      <c r="L34" s="16"/>
      <c r="M34" s="16"/>
      <c r="N34" s="191"/>
      <c r="O34" s="200"/>
    </row>
    <row r="35" spans="1:19" ht="21.95" customHeight="1" x14ac:dyDescent="0.15">
      <c r="A35" s="174"/>
      <c r="B35" s="193"/>
      <c r="C35" s="51" t="s">
        <v>38</v>
      </c>
      <c r="D35" s="16" t="s">
        <v>21</v>
      </c>
      <c r="E35" s="14" t="s">
        <v>19</v>
      </c>
      <c r="F35" s="16">
        <v>3</v>
      </c>
      <c r="G35" s="14">
        <f t="shared" si="1"/>
        <v>2</v>
      </c>
      <c r="H35" s="16"/>
      <c r="I35" s="16"/>
      <c r="J35" s="16">
        <v>2</v>
      </c>
      <c r="K35" s="16"/>
      <c r="L35" s="16"/>
      <c r="M35" s="16"/>
      <c r="N35" s="191"/>
      <c r="O35" s="200"/>
    </row>
    <row r="36" spans="1:19" ht="21.95" customHeight="1" x14ac:dyDescent="0.15">
      <c r="A36" s="174"/>
      <c r="B36" s="193"/>
      <c r="C36" s="51" t="s">
        <v>63</v>
      </c>
      <c r="D36" s="16" t="s">
        <v>21</v>
      </c>
      <c r="E36" s="14" t="s">
        <v>20</v>
      </c>
      <c r="F36" s="16">
        <v>3</v>
      </c>
      <c r="G36" s="14">
        <f t="shared" si="1"/>
        <v>2</v>
      </c>
      <c r="H36" s="16"/>
      <c r="I36" s="16"/>
      <c r="J36" s="16"/>
      <c r="K36" s="16">
        <v>2</v>
      </c>
      <c r="L36" s="16"/>
      <c r="M36" s="16"/>
      <c r="N36" s="191"/>
      <c r="O36" s="200"/>
    </row>
    <row r="37" spans="1:19" ht="21.95" customHeight="1" x14ac:dyDescent="0.15">
      <c r="A37" s="174"/>
      <c r="B37" s="143"/>
      <c r="C37" s="51" t="s">
        <v>41</v>
      </c>
      <c r="D37" s="31" t="s">
        <v>21</v>
      </c>
      <c r="E37" s="33" t="s">
        <v>37</v>
      </c>
      <c r="F37" s="31">
        <v>3</v>
      </c>
      <c r="G37" s="33">
        <f t="shared" ref="G37" si="2">SUM(H37:M37)</f>
        <v>2</v>
      </c>
      <c r="H37" s="31"/>
      <c r="I37" s="31"/>
      <c r="J37" s="31"/>
      <c r="K37" s="31"/>
      <c r="L37" s="31"/>
      <c r="M37" s="31">
        <v>2</v>
      </c>
      <c r="N37" s="192"/>
      <c r="O37" s="201"/>
    </row>
    <row r="38" spans="1:19" ht="21.95" customHeight="1" x14ac:dyDescent="0.15">
      <c r="A38" s="174"/>
      <c r="B38" s="68" t="s">
        <v>25</v>
      </c>
      <c r="C38" s="53" t="s">
        <v>88</v>
      </c>
      <c r="D38" s="16" t="s">
        <v>21</v>
      </c>
      <c r="E38" s="14" t="s">
        <v>19</v>
      </c>
      <c r="F38" s="16">
        <v>3</v>
      </c>
      <c r="G38" s="14">
        <v>2</v>
      </c>
      <c r="H38" s="16">
        <v>2</v>
      </c>
      <c r="I38" s="16"/>
      <c r="J38" s="16"/>
      <c r="K38" s="16"/>
      <c r="L38" s="16"/>
      <c r="M38" s="16"/>
      <c r="N38" s="45">
        <f>SUM(H38:M38)</f>
        <v>2</v>
      </c>
      <c r="O38" s="196">
        <v>16</v>
      </c>
    </row>
    <row r="39" spans="1:19" ht="21.95" customHeight="1" x14ac:dyDescent="0.15">
      <c r="A39" s="175"/>
      <c r="B39" s="142" t="s">
        <v>81</v>
      </c>
      <c r="C39" s="65" t="s">
        <v>81</v>
      </c>
      <c r="D39" s="61" t="s">
        <v>82</v>
      </c>
      <c r="E39" s="60" t="s">
        <v>83</v>
      </c>
      <c r="F39" s="61">
        <v>4</v>
      </c>
      <c r="G39" s="60">
        <v>3</v>
      </c>
      <c r="H39" s="61">
        <v>3</v>
      </c>
      <c r="I39" s="61"/>
      <c r="J39" s="61"/>
      <c r="K39" s="61"/>
      <c r="L39" s="61"/>
      <c r="M39" s="61"/>
      <c r="N39" s="63">
        <f t="shared" ref="N39:N40" si="3">SUM(H39:M39)</f>
        <v>3</v>
      </c>
      <c r="O39" s="197"/>
    </row>
    <row r="40" spans="1:19" ht="21.95" customHeight="1" x14ac:dyDescent="0.15">
      <c r="A40" s="175"/>
      <c r="B40" s="143"/>
      <c r="C40" s="66" t="s">
        <v>84</v>
      </c>
      <c r="D40" s="62" t="s">
        <v>21</v>
      </c>
      <c r="E40" s="62" t="s">
        <v>20</v>
      </c>
      <c r="F40" s="62">
        <v>4</v>
      </c>
      <c r="G40" s="62">
        <v>3</v>
      </c>
      <c r="H40" s="62"/>
      <c r="I40" s="62">
        <v>3</v>
      </c>
      <c r="J40" s="62"/>
      <c r="K40" s="62"/>
      <c r="L40" s="62"/>
      <c r="M40" s="62"/>
      <c r="N40" s="63">
        <f t="shared" si="3"/>
        <v>3</v>
      </c>
      <c r="O40" s="198"/>
    </row>
    <row r="41" spans="1:19" ht="21.95" customHeight="1" thickBot="1" x14ac:dyDescent="0.2">
      <c r="A41" s="176"/>
      <c r="B41" s="136"/>
      <c r="C41" s="136"/>
      <c r="D41" s="136"/>
      <c r="E41" s="136"/>
      <c r="F41" s="4"/>
      <c r="G41" s="19"/>
      <c r="H41" s="19">
        <f t="shared" ref="H41:M41" si="4">SUM(H5:H40)</f>
        <v>30</v>
      </c>
      <c r="I41" s="19">
        <f t="shared" si="4"/>
        <v>28</v>
      </c>
      <c r="J41" s="19">
        <f t="shared" si="4"/>
        <v>15</v>
      </c>
      <c r="K41" s="19">
        <f t="shared" si="4"/>
        <v>15</v>
      </c>
      <c r="L41" s="19">
        <f t="shared" si="4"/>
        <v>10</v>
      </c>
      <c r="M41" s="19">
        <f t="shared" si="4"/>
        <v>4</v>
      </c>
      <c r="N41" s="5">
        <f>SUM(H41:M41)</f>
        <v>102</v>
      </c>
      <c r="O41" s="6">
        <f>SUM(O5:O39)</f>
        <v>84</v>
      </c>
      <c r="S41" s="30"/>
    </row>
    <row r="42" spans="1:19" ht="21.95" customHeight="1" x14ac:dyDescent="0.15">
      <c r="A42" s="72"/>
      <c r="B42" s="75" t="s">
        <v>25</v>
      </c>
      <c r="C42" s="76" t="s">
        <v>100</v>
      </c>
      <c r="D42" s="77" t="s">
        <v>39</v>
      </c>
      <c r="E42" s="80" t="s">
        <v>20</v>
      </c>
      <c r="F42" s="78">
        <v>3</v>
      </c>
      <c r="G42" s="79">
        <f t="shared" ref="G42" si="5">SUM(H42:M42)</f>
        <v>2</v>
      </c>
      <c r="H42" s="78"/>
      <c r="I42" s="78">
        <v>2</v>
      </c>
      <c r="J42" s="2"/>
      <c r="K42" s="2"/>
      <c r="L42" s="2"/>
      <c r="M42" s="2"/>
      <c r="N42" s="74">
        <f>SUM(H42:M42)</f>
        <v>2</v>
      </c>
      <c r="O42" s="177"/>
      <c r="S42" s="30"/>
    </row>
    <row r="43" spans="1:19" ht="24.95" customHeight="1" x14ac:dyDescent="0.15">
      <c r="A43" s="144"/>
      <c r="B43" s="140" t="s">
        <v>23</v>
      </c>
      <c r="C43" s="28" t="s">
        <v>85</v>
      </c>
      <c r="D43" s="29" t="s">
        <v>39</v>
      </c>
      <c r="E43" s="29" t="s">
        <v>19</v>
      </c>
      <c r="F43" s="71">
        <v>4</v>
      </c>
      <c r="G43" s="70">
        <v>3</v>
      </c>
      <c r="H43" s="70"/>
      <c r="I43" s="70"/>
      <c r="J43" s="70">
        <v>3</v>
      </c>
      <c r="K43" s="70"/>
      <c r="L43" s="70"/>
      <c r="M43" s="70"/>
      <c r="N43" s="69">
        <f>SUM(H43:M43)</f>
        <v>3</v>
      </c>
      <c r="O43" s="178"/>
    </row>
    <row r="44" spans="1:19" ht="24.95" customHeight="1" x14ac:dyDescent="0.15">
      <c r="A44" s="144"/>
      <c r="B44" s="141"/>
      <c r="C44" s="20" t="s">
        <v>86</v>
      </c>
      <c r="D44" s="15" t="s">
        <v>39</v>
      </c>
      <c r="E44" s="56" t="s">
        <v>87</v>
      </c>
      <c r="F44" s="21">
        <v>4</v>
      </c>
      <c r="G44" s="13">
        <v>3</v>
      </c>
      <c r="H44" s="13"/>
      <c r="I44" s="13"/>
      <c r="J44" s="13"/>
      <c r="K44" s="13">
        <v>3</v>
      </c>
      <c r="L44" s="13"/>
      <c r="M44" s="13"/>
      <c r="N44" s="41">
        <f>SUM(H44:M44)</f>
        <v>3</v>
      </c>
      <c r="O44" s="179"/>
    </row>
    <row r="45" spans="1:19" ht="22.5" customHeight="1" x14ac:dyDescent="0.15">
      <c r="A45" s="144"/>
      <c r="B45" s="25" t="s">
        <v>76</v>
      </c>
      <c r="C45" s="59" t="s">
        <v>101</v>
      </c>
      <c r="D45" s="18" t="s">
        <v>39</v>
      </c>
      <c r="E45" s="56" t="s">
        <v>20</v>
      </c>
      <c r="F45" s="21">
        <v>4</v>
      </c>
      <c r="G45" s="13">
        <v>3</v>
      </c>
      <c r="H45" s="13"/>
      <c r="I45" s="13"/>
      <c r="J45" s="13"/>
      <c r="K45" s="13">
        <v>3</v>
      </c>
      <c r="L45" s="13"/>
      <c r="M45" s="13"/>
      <c r="N45" s="24">
        <f>SUM(H45:M45)</f>
        <v>3</v>
      </c>
      <c r="O45" s="17"/>
    </row>
    <row r="46" spans="1:19" ht="44.25" customHeight="1" x14ac:dyDescent="0.15">
      <c r="A46" s="144"/>
      <c r="B46" s="138" t="s">
        <v>89</v>
      </c>
      <c r="C46" s="8" t="s">
        <v>90</v>
      </c>
      <c r="D46" s="18" t="s">
        <v>65</v>
      </c>
      <c r="E46" s="15" t="s">
        <v>91</v>
      </c>
      <c r="F46" s="21">
        <v>4</v>
      </c>
      <c r="G46" s="13">
        <v>4</v>
      </c>
      <c r="H46" s="13"/>
      <c r="I46" s="13"/>
      <c r="J46" s="13">
        <v>12</v>
      </c>
      <c r="K46" s="13"/>
      <c r="L46" s="13"/>
      <c r="M46" s="13"/>
      <c r="N46" s="67">
        <f t="shared" ref="N46:N52" si="6">SUM(H46:M46)</f>
        <v>12</v>
      </c>
      <c r="O46" s="17"/>
    </row>
    <row r="47" spans="1:19" ht="51.75" customHeight="1" x14ac:dyDescent="0.15">
      <c r="A47" s="144"/>
      <c r="B47" s="139"/>
      <c r="C47" s="59" t="s">
        <v>97</v>
      </c>
      <c r="D47" s="18" t="s">
        <v>65</v>
      </c>
      <c r="E47" s="56" t="s">
        <v>92</v>
      </c>
      <c r="F47" s="21">
        <v>4</v>
      </c>
      <c r="G47" s="32">
        <v>3</v>
      </c>
      <c r="H47" s="13"/>
      <c r="I47" s="13"/>
      <c r="J47" s="13"/>
      <c r="K47" s="13">
        <v>9</v>
      </c>
      <c r="L47" s="13"/>
      <c r="M47" s="13"/>
      <c r="N47" s="67">
        <f t="shared" si="6"/>
        <v>9</v>
      </c>
      <c r="O47" s="17"/>
    </row>
    <row r="48" spans="1:19" ht="48.75" customHeight="1" x14ac:dyDescent="0.15">
      <c r="A48" s="144"/>
      <c r="B48" s="54" t="s">
        <v>76</v>
      </c>
      <c r="C48" s="38" t="s">
        <v>103</v>
      </c>
      <c r="D48" s="37" t="s">
        <v>79</v>
      </c>
      <c r="E48" s="47" t="s">
        <v>104</v>
      </c>
      <c r="F48" s="34">
        <v>4</v>
      </c>
      <c r="G48" s="35">
        <v>4</v>
      </c>
      <c r="H48" s="35"/>
      <c r="I48" s="35"/>
      <c r="J48" s="35"/>
      <c r="K48" s="35"/>
      <c r="L48" s="35">
        <v>8</v>
      </c>
      <c r="M48" s="35"/>
      <c r="N48" s="67">
        <f t="shared" si="6"/>
        <v>8</v>
      </c>
      <c r="O48" s="36"/>
    </row>
    <row r="49" spans="1:15" ht="48.75" customHeight="1" x14ac:dyDescent="0.15">
      <c r="A49" s="144"/>
      <c r="B49" s="39" t="s">
        <v>89</v>
      </c>
      <c r="C49" s="50" t="s">
        <v>102</v>
      </c>
      <c r="D49" s="49" t="s">
        <v>77</v>
      </c>
      <c r="E49" s="47" t="s">
        <v>80</v>
      </c>
      <c r="F49" s="40">
        <v>4</v>
      </c>
      <c r="G49" s="42">
        <v>3</v>
      </c>
      <c r="H49" s="42"/>
      <c r="I49" s="42"/>
      <c r="J49" s="42"/>
      <c r="K49" s="42"/>
      <c r="L49" s="42">
        <v>9</v>
      </c>
      <c r="M49" s="42"/>
      <c r="N49" s="67">
        <f t="shared" si="6"/>
        <v>9</v>
      </c>
      <c r="O49" s="46"/>
    </row>
    <row r="50" spans="1:15" ht="48.75" customHeight="1" x14ac:dyDescent="0.15">
      <c r="A50" s="144"/>
      <c r="B50" s="54" t="s">
        <v>76</v>
      </c>
      <c r="C50" s="50" t="s">
        <v>93</v>
      </c>
      <c r="D50" s="49" t="s">
        <v>79</v>
      </c>
      <c r="E50" s="47" t="s">
        <v>80</v>
      </c>
      <c r="F50" s="40">
        <v>4</v>
      </c>
      <c r="G50" s="42">
        <v>4</v>
      </c>
      <c r="H50" s="42"/>
      <c r="I50" s="42"/>
      <c r="J50" s="42"/>
      <c r="K50" s="42"/>
      <c r="L50" s="42"/>
      <c r="M50" s="42">
        <v>8</v>
      </c>
      <c r="N50" s="67">
        <f t="shared" si="6"/>
        <v>8</v>
      </c>
      <c r="O50" s="46"/>
    </row>
    <row r="51" spans="1:15" ht="63.75" customHeight="1" x14ac:dyDescent="0.15">
      <c r="A51" s="144"/>
      <c r="B51" s="39" t="s">
        <v>95</v>
      </c>
      <c r="C51" s="58" t="s">
        <v>98</v>
      </c>
      <c r="D51" s="18" t="s">
        <v>99</v>
      </c>
      <c r="E51" s="57" t="s">
        <v>94</v>
      </c>
      <c r="F51" s="21">
        <v>4</v>
      </c>
      <c r="G51" s="35">
        <v>3</v>
      </c>
      <c r="H51" s="13"/>
      <c r="I51" s="13"/>
      <c r="J51" s="13"/>
      <c r="K51" s="13"/>
      <c r="L51" s="13"/>
      <c r="M51" s="13">
        <v>12</v>
      </c>
      <c r="N51" s="67">
        <f t="shared" si="6"/>
        <v>12</v>
      </c>
      <c r="O51" s="17"/>
    </row>
    <row r="52" spans="1:15" ht="30.75" customHeight="1" x14ac:dyDescent="0.15">
      <c r="A52" s="145"/>
      <c r="B52" s="25" t="s">
        <v>78</v>
      </c>
      <c r="C52" s="53" t="s">
        <v>96</v>
      </c>
      <c r="D52" s="47" t="s">
        <v>39</v>
      </c>
      <c r="E52" s="47" t="s">
        <v>80</v>
      </c>
      <c r="F52" s="44">
        <v>3</v>
      </c>
      <c r="G52" s="48">
        <v>3</v>
      </c>
      <c r="H52" s="42"/>
      <c r="I52" s="42"/>
      <c r="J52" s="42"/>
      <c r="K52" s="42"/>
      <c r="L52" s="42"/>
      <c r="M52" s="42">
        <v>3</v>
      </c>
      <c r="N52" s="67">
        <f t="shared" si="6"/>
        <v>3</v>
      </c>
      <c r="O52" s="64"/>
    </row>
    <row r="53" spans="1:15" ht="21.95" customHeight="1" thickBot="1" x14ac:dyDescent="0.2">
      <c r="A53" s="147" t="s">
        <v>30</v>
      </c>
      <c r="B53" s="148"/>
      <c r="C53" s="148"/>
      <c r="D53" s="148"/>
      <c r="E53" s="148"/>
      <c r="F53" s="148"/>
      <c r="G53" s="149"/>
      <c r="H53" s="19">
        <f t="shared" ref="H53:N53" si="7">SUM(H42:H52)</f>
        <v>0</v>
      </c>
      <c r="I53" s="73">
        <f t="shared" si="7"/>
        <v>2</v>
      </c>
      <c r="J53" s="73">
        <f t="shared" si="7"/>
        <v>15</v>
      </c>
      <c r="K53" s="73">
        <f t="shared" si="7"/>
        <v>15</v>
      </c>
      <c r="L53" s="73">
        <f t="shared" si="7"/>
        <v>17</v>
      </c>
      <c r="M53" s="73">
        <f t="shared" si="7"/>
        <v>23</v>
      </c>
      <c r="N53" s="73">
        <f t="shared" si="7"/>
        <v>72</v>
      </c>
      <c r="O53" s="19"/>
    </row>
    <row r="54" spans="1:15" ht="21.95" customHeight="1" x14ac:dyDescent="0.15">
      <c r="A54" s="150" t="s">
        <v>31</v>
      </c>
      <c r="B54" s="151"/>
      <c r="C54" s="151"/>
      <c r="D54" s="151"/>
      <c r="E54" s="151"/>
      <c r="F54" s="151"/>
      <c r="G54" s="152"/>
      <c r="H54" s="14">
        <f t="shared" ref="H54:M54" si="8">SUM(H41+H53)</f>
        <v>30</v>
      </c>
      <c r="I54" s="14">
        <f t="shared" si="8"/>
        <v>30</v>
      </c>
      <c r="J54" s="14">
        <f t="shared" si="8"/>
        <v>30</v>
      </c>
      <c r="K54" s="14">
        <f t="shared" si="8"/>
        <v>30</v>
      </c>
      <c r="L54" s="14">
        <f t="shared" si="8"/>
        <v>27</v>
      </c>
      <c r="M54" s="14">
        <f t="shared" si="8"/>
        <v>27</v>
      </c>
      <c r="N54" s="14">
        <f>SUM(H54:M54)</f>
        <v>174</v>
      </c>
      <c r="O54" s="7"/>
    </row>
    <row r="55" spans="1:15" ht="21.95" customHeight="1" x14ac:dyDescent="0.2">
      <c r="A55" s="153" t="s">
        <v>14</v>
      </c>
      <c r="B55" s="154"/>
      <c r="C55" s="154"/>
      <c r="D55" s="154"/>
      <c r="E55" s="154"/>
      <c r="F55" s="154"/>
      <c r="G55" s="155"/>
      <c r="H55" s="16">
        <v>3</v>
      </c>
      <c r="I55" s="16">
        <v>3</v>
      </c>
      <c r="J55" s="16">
        <v>3</v>
      </c>
      <c r="K55" s="16">
        <v>3</v>
      </c>
      <c r="L55" s="16">
        <v>3</v>
      </c>
      <c r="M55" s="16">
        <v>3</v>
      </c>
      <c r="N55" s="16">
        <f>SUM(H55:M55)</f>
        <v>18</v>
      </c>
      <c r="O55" s="26"/>
    </row>
    <row r="56" spans="1:15" ht="21.95" customHeight="1" x14ac:dyDescent="0.2">
      <c r="A56" s="153" t="s">
        <v>32</v>
      </c>
      <c r="B56" s="154"/>
      <c r="C56" s="154"/>
      <c r="D56" s="154"/>
      <c r="E56" s="154"/>
      <c r="F56" s="154"/>
      <c r="G56" s="155"/>
      <c r="H56" s="16">
        <f t="shared" ref="H56:M56" si="9">SUM(H54:H55)</f>
        <v>33</v>
      </c>
      <c r="I56" s="16">
        <f t="shared" si="9"/>
        <v>33</v>
      </c>
      <c r="J56" s="16">
        <f t="shared" si="9"/>
        <v>33</v>
      </c>
      <c r="K56" s="16">
        <f t="shared" si="9"/>
        <v>33</v>
      </c>
      <c r="L56" s="16">
        <f t="shared" si="9"/>
        <v>30</v>
      </c>
      <c r="M56" s="16">
        <f t="shared" si="9"/>
        <v>30</v>
      </c>
      <c r="N56" s="16">
        <f>SUM(H56:M56)</f>
        <v>192</v>
      </c>
      <c r="O56" s="26"/>
    </row>
    <row r="57" spans="1:15" ht="21.95" customHeight="1" thickBot="1" x14ac:dyDescent="0.25">
      <c r="A57" s="156" t="s">
        <v>33</v>
      </c>
      <c r="B57" s="157"/>
      <c r="C57" s="157"/>
      <c r="D57" s="157"/>
      <c r="E57" s="157"/>
      <c r="F57" s="157"/>
      <c r="G57" s="158"/>
      <c r="H57" s="146">
        <f>SUM(H56:I56)</f>
        <v>66</v>
      </c>
      <c r="I57" s="146"/>
      <c r="J57" s="146">
        <f t="shared" ref="J57" si="10">SUM(J56:K56)</f>
        <v>66</v>
      </c>
      <c r="K57" s="146"/>
      <c r="L57" s="146">
        <f t="shared" ref="L57" si="11">SUM(L56:M56)</f>
        <v>60</v>
      </c>
      <c r="M57" s="146"/>
      <c r="N57" s="19">
        <f>SUM(H57:M57)</f>
        <v>192</v>
      </c>
      <c r="O57" s="27"/>
    </row>
  </sheetData>
  <mergeCells count="53">
    <mergeCell ref="N27:N32"/>
    <mergeCell ref="O27:O32"/>
    <mergeCell ref="O38:O40"/>
    <mergeCell ref="B33:B37"/>
    <mergeCell ref="N33:N37"/>
    <mergeCell ref="O33:O37"/>
    <mergeCell ref="O42:O44"/>
    <mergeCell ref="O5:O9"/>
    <mergeCell ref="N5:N9"/>
    <mergeCell ref="B10:B14"/>
    <mergeCell ref="O23:O26"/>
    <mergeCell ref="B19:B22"/>
    <mergeCell ref="N21:N22"/>
    <mergeCell ref="O10:O14"/>
    <mergeCell ref="N10:N14"/>
    <mergeCell ref="O15:O18"/>
    <mergeCell ref="N15:N18"/>
    <mergeCell ref="B15:B18"/>
    <mergeCell ref="O21:O22"/>
    <mergeCell ref="N19:N20"/>
    <mergeCell ref="O19:O20"/>
    <mergeCell ref="B23:B26"/>
    <mergeCell ref="N23:N26"/>
    <mergeCell ref="A1:O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L3:M3"/>
    <mergeCell ref="N3:N4"/>
    <mergeCell ref="O3:O4"/>
    <mergeCell ref="D2:O2"/>
    <mergeCell ref="A5:A41"/>
    <mergeCell ref="A43:A52"/>
    <mergeCell ref="L57:M57"/>
    <mergeCell ref="A53:G53"/>
    <mergeCell ref="A54:G54"/>
    <mergeCell ref="A55:G55"/>
    <mergeCell ref="A56:G56"/>
    <mergeCell ref="A57:G57"/>
    <mergeCell ref="H57:I57"/>
    <mergeCell ref="J57:K57"/>
    <mergeCell ref="B5:B9"/>
    <mergeCell ref="B41:E41"/>
    <mergeCell ref="B27:B32"/>
    <mergeCell ref="B46:B47"/>
    <mergeCell ref="B43:B44"/>
    <mergeCell ref="B39:B40"/>
  </mergeCells>
  <phoneticPr fontId="1" type="noConversion"/>
  <printOptions horizontalCentered="1"/>
  <pageMargins left="0.25" right="0.25" top="0.75" bottom="0.75" header="0.3" footer="0.3"/>
  <pageSetup paperSize="9" scale="50" orientation="portrait" verticalDpi="4294967295" r:id="rId1"/>
  <ignoredErrors>
    <ignoredError sqref="N38 N44:N4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D23B-3336-41CB-A6C1-1D3BD7EFF7DA}">
  <sheetPr>
    <pageSetUpPr fitToPage="1"/>
  </sheetPr>
  <dimension ref="A1:O69"/>
  <sheetViews>
    <sheetView tabSelected="1" topLeftCell="A46" zoomScaleNormal="100" workbookViewId="0">
      <selection activeCell="T59" sqref="T59"/>
    </sheetView>
  </sheetViews>
  <sheetFormatPr defaultRowHeight="13.5" x14ac:dyDescent="0.15"/>
  <cols>
    <col min="1" max="1" width="3.77734375" style="81" customWidth="1"/>
    <col min="2" max="2" width="11.77734375" style="81" customWidth="1"/>
    <col min="3" max="3" width="30.77734375" style="81" customWidth="1"/>
    <col min="4" max="4" width="7.77734375" style="81" customWidth="1"/>
    <col min="5" max="5" width="8.77734375" style="81" customWidth="1"/>
    <col min="6" max="15" width="5.88671875" style="81" customWidth="1"/>
    <col min="16" max="16384" width="8.88671875" style="81"/>
  </cols>
  <sheetData>
    <row r="1" spans="1:15" ht="39.950000000000003" customHeight="1" thickBot="1" x14ac:dyDescent="0.2">
      <c r="A1" s="276" t="s">
        <v>105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8"/>
    </row>
    <row r="2" spans="1:15" ht="24.95" customHeight="1" x14ac:dyDescent="0.3">
      <c r="A2" s="279" t="s">
        <v>16</v>
      </c>
      <c r="B2" s="280"/>
      <c r="C2" s="281" t="s">
        <v>40</v>
      </c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2"/>
    </row>
    <row r="3" spans="1:15" ht="20.100000000000001" customHeight="1" x14ac:dyDescent="0.15">
      <c r="A3" s="283" t="s">
        <v>8</v>
      </c>
      <c r="B3" s="285" t="s">
        <v>13</v>
      </c>
      <c r="C3" s="286" t="s">
        <v>15</v>
      </c>
      <c r="D3" s="286" t="s">
        <v>17</v>
      </c>
      <c r="E3" s="286" t="s">
        <v>22</v>
      </c>
      <c r="F3" s="286" t="s">
        <v>26</v>
      </c>
      <c r="G3" s="286" t="s">
        <v>27</v>
      </c>
      <c r="H3" s="285" t="s">
        <v>2</v>
      </c>
      <c r="I3" s="285"/>
      <c r="J3" s="285" t="s">
        <v>12</v>
      </c>
      <c r="K3" s="285"/>
      <c r="L3" s="285" t="s">
        <v>11</v>
      </c>
      <c r="M3" s="285"/>
      <c r="N3" s="286" t="s">
        <v>28</v>
      </c>
      <c r="O3" s="287" t="s">
        <v>29</v>
      </c>
    </row>
    <row r="4" spans="1:15" ht="20.100000000000001" customHeight="1" thickBot="1" x14ac:dyDescent="0.2">
      <c r="A4" s="284"/>
      <c r="B4" s="285"/>
      <c r="C4" s="286"/>
      <c r="D4" s="286"/>
      <c r="E4" s="286"/>
      <c r="F4" s="286"/>
      <c r="G4" s="286"/>
      <c r="H4" s="82" t="s">
        <v>0</v>
      </c>
      <c r="I4" s="82" t="s">
        <v>3</v>
      </c>
      <c r="J4" s="82" t="s">
        <v>0</v>
      </c>
      <c r="K4" s="82" t="s">
        <v>3</v>
      </c>
      <c r="L4" s="82" t="s">
        <v>0</v>
      </c>
      <c r="M4" s="82" t="s">
        <v>3</v>
      </c>
      <c r="N4" s="285"/>
      <c r="O4" s="288"/>
    </row>
    <row r="5" spans="1:15" ht="21.95" customHeight="1" x14ac:dyDescent="0.15">
      <c r="A5" s="267" t="s">
        <v>42</v>
      </c>
      <c r="B5" s="275" t="s">
        <v>10</v>
      </c>
      <c r="C5" s="83" t="s">
        <v>43</v>
      </c>
      <c r="D5" s="84" t="s">
        <v>21</v>
      </c>
      <c r="E5" s="84" t="s">
        <v>18</v>
      </c>
      <c r="F5" s="85">
        <v>4</v>
      </c>
      <c r="G5" s="85">
        <v>4</v>
      </c>
      <c r="H5" s="85">
        <v>4</v>
      </c>
      <c r="I5" s="85"/>
      <c r="J5" s="85"/>
      <c r="K5" s="85"/>
      <c r="L5" s="85"/>
      <c r="M5" s="85"/>
      <c r="N5" s="275">
        <f>SUM(H5:M6)</f>
        <v>8</v>
      </c>
      <c r="O5" s="263"/>
    </row>
    <row r="6" spans="1:15" ht="21.95" customHeight="1" x14ac:dyDescent="0.15">
      <c r="A6" s="262"/>
      <c r="B6" s="245"/>
      <c r="C6" s="86" t="s">
        <v>44</v>
      </c>
      <c r="D6" s="87" t="s">
        <v>21</v>
      </c>
      <c r="E6" s="87" t="s">
        <v>18</v>
      </c>
      <c r="F6" s="88">
        <v>4</v>
      </c>
      <c r="G6" s="88">
        <v>4</v>
      </c>
      <c r="H6" s="88"/>
      <c r="I6" s="88">
        <v>4</v>
      </c>
      <c r="J6" s="88"/>
      <c r="K6" s="88"/>
      <c r="L6" s="88"/>
      <c r="M6" s="88"/>
      <c r="N6" s="245"/>
      <c r="O6" s="264"/>
    </row>
    <row r="7" spans="1:15" ht="21.95" customHeight="1" x14ac:dyDescent="0.15">
      <c r="A7" s="268"/>
      <c r="B7" s="244" t="s">
        <v>1</v>
      </c>
      <c r="C7" s="89" t="s">
        <v>45</v>
      </c>
      <c r="D7" s="87" t="s">
        <v>21</v>
      </c>
      <c r="E7" s="87" t="s">
        <v>18</v>
      </c>
      <c r="F7" s="87">
        <v>4</v>
      </c>
      <c r="G7" s="88">
        <v>4</v>
      </c>
      <c r="H7" s="87">
        <v>3</v>
      </c>
      <c r="I7" s="87"/>
      <c r="J7" s="87"/>
      <c r="K7" s="87"/>
      <c r="L7" s="87"/>
      <c r="M7" s="87"/>
      <c r="N7" s="250">
        <f>SUM(H7:M8)</f>
        <v>6</v>
      </c>
      <c r="O7" s="274"/>
    </row>
    <row r="8" spans="1:15" ht="21.95" customHeight="1" x14ac:dyDescent="0.15">
      <c r="A8" s="268"/>
      <c r="B8" s="245"/>
      <c r="C8" s="89" t="s">
        <v>46</v>
      </c>
      <c r="D8" s="87" t="s">
        <v>21</v>
      </c>
      <c r="E8" s="87" t="s">
        <v>18</v>
      </c>
      <c r="F8" s="87">
        <v>4</v>
      </c>
      <c r="G8" s="88">
        <v>4</v>
      </c>
      <c r="H8" s="87"/>
      <c r="I8" s="87">
        <v>3</v>
      </c>
      <c r="J8" s="87"/>
      <c r="K8" s="87"/>
      <c r="L8" s="87"/>
      <c r="M8" s="87"/>
      <c r="N8" s="223"/>
      <c r="O8" s="264"/>
    </row>
    <row r="9" spans="1:15" ht="21.95" customHeight="1" x14ac:dyDescent="0.15">
      <c r="A9" s="268"/>
      <c r="B9" s="250" t="s">
        <v>4</v>
      </c>
      <c r="C9" s="89" t="s">
        <v>47</v>
      </c>
      <c r="D9" s="87" t="s">
        <v>21</v>
      </c>
      <c r="E9" s="87" t="s">
        <v>18</v>
      </c>
      <c r="F9" s="87">
        <v>4</v>
      </c>
      <c r="G9" s="88">
        <v>4</v>
      </c>
      <c r="H9" s="87">
        <v>4</v>
      </c>
      <c r="I9" s="87"/>
      <c r="J9" s="87"/>
      <c r="K9" s="87"/>
      <c r="L9" s="87"/>
      <c r="M9" s="87"/>
      <c r="N9" s="244">
        <f>SUM(H9:M12)</f>
        <v>14</v>
      </c>
      <c r="O9" s="274"/>
    </row>
    <row r="10" spans="1:15" ht="21.95" customHeight="1" x14ac:dyDescent="0.15">
      <c r="A10" s="268"/>
      <c r="B10" s="223"/>
      <c r="C10" s="89" t="s">
        <v>48</v>
      </c>
      <c r="D10" s="87" t="s">
        <v>21</v>
      </c>
      <c r="E10" s="87" t="s">
        <v>18</v>
      </c>
      <c r="F10" s="87">
        <v>4</v>
      </c>
      <c r="G10" s="88">
        <v>4</v>
      </c>
      <c r="H10" s="87"/>
      <c r="I10" s="87">
        <v>4</v>
      </c>
      <c r="J10" s="87"/>
      <c r="K10" s="87"/>
      <c r="L10" s="87"/>
      <c r="M10" s="87"/>
      <c r="N10" s="245"/>
      <c r="O10" s="264"/>
    </row>
    <row r="11" spans="1:15" ht="21.95" customHeight="1" x14ac:dyDescent="0.15">
      <c r="A11" s="268"/>
      <c r="B11" s="223"/>
      <c r="C11" s="87" t="s">
        <v>106</v>
      </c>
      <c r="D11" s="87" t="s">
        <v>21</v>
      </c>
      <c r="E11" s="88" t="s">
        <v>19</v>
      </c>
      <c r="F11" s="87">
        <v>5</v>
      </c>
      <c r="G11" s="88">
        <f t="shared" ref="G11:G31" si="0">SUM(H11:M11)</f>
        <v>3</v>
      </c>
      <c r="H11" s="87"/>
      <c r="I11" s="87"/>
      <c r="J11" s="87"/>
      <c r="K11" s="87"/>
      <c r="L11" s="87">
        <v>3</v>
      </c>
      <c r="M11" s="87"/>
      <c r="N11" s="245"/>
      <c r="O11" s="264"/>
    </row>
    <row r="12" spans="1:15" ht="21.95" customHeight="1" x14ac:dyDescent="0.15">
      <c r="A12" s="268"/>
      <c r="B12" s="224"/>
      <c r="C12" s="87" t="s">
        <v>107</v>
      </c>
      <c r="D12" s="87" t="s">
        <v>21</v>
      </c>
      <c r="E12" s="87" t="s">
        <v>20</v>
      </c>
      <c r="F12" s="87">
        <v>5</v>
      </c>
      <c r="G12" s="88">
        <f t="shared" si="0"/>
        <v>3</v>
      </c>
      <c r="H12" s="87"/>
      <c r="I12" s="87"/>
      <c r="J12" s="87"/>
      <c r="K12" s="87"/>
      <c r="L12" s="87"/>
      <c r="M12" s="87">
        <v>3</v>
      </c>
      <c r="N12" s="246"/>
      <c r="O12" s="265"/>
    </row>
    <row r="13" spans="1:15" ht="21.95" customHeight="1" x14ac:dyDescent="0.15">
      <c r="A13" s="268"/>
      <c r="B13" s="244" t="s">
        <v>108</v>
      </c>
      <c r="C13" s="89" t="s">
        <v>49</v>
      </c>
      <c r="D13" s="87" t="s">
        <v>21</v>
      </c>
      <c r="E13" s="87" t="s">
        <v>18</v>
      </c>
      <c r="F13" s="87">
        <v>3</v>
      </c>
      <c r="G13" s="88">
        <v>3</v>
      </c>
      <c r="H13" s="87">
        <v>3</v>
      </c>
      <c r="I13" s="87"/>
      <c r="J13" s="87"/>
      <c r="K13" s="90"/>
      <c r="L13" s="87"/>
      <c r="M13" s="87"/>
      <c r="N13" s="244">
        <f>SUM(H13:M14)</f>
        <v>6</v>
      </c>
      <c r="O13" s="274"/>
    </row>
    <row r="14" spans="1:15" ht="21.95" customHeight="1" x14ac:dyDescent="0.15">
      <c r="A14" s="268"/>
      <c r="B14" s="246"/>
      <c r="C14" s="89" t="s">
        <v>50</v>
      </c>
      <c r="D14" s="87" t="s">
        <v>21</v>
      </c>
      <c r="E14" s="87" t="s">
        <v>18</v>
      </c>
      <c r="F14" s="87">
        <v>3</v>
      </c>
      <c r="G14" s="88">
        <v>3</v>
      </c>
      <c r="H14" s="87"/>
      <c r="I14" s="87">
        <v>3</v>
      </c>
      <c r="J14" s="87"/>
      <c r="K14" s="90"/>
      <c r="L14" s="87"/>
      <c r="M14" s="87"/>
      <c r="N14" s="246"/>
      <c r="O14" s="265"/>
    </row>
    <row r="15" spans="1:15" ht="21.95" customHeight="1" x14ac:dyDescent="0.15">
      <c r="A15" s="268"/>
      <c r="B15" s="244" t="s">
        <v>6</v>
      </c>
      <c r="C15" s="89" t="s">
        <v>51</v>
      </c>
      <c r="D15" s="87" t="s">
        <v>21</v>
      </c>
      <c r="E15" s="87" t="s">
        <v>18</v>
      </c>
      <c r="F15" s="87">
        <v>4</v>
      </c>
      <c r="G15" s="88">
        <v>4</v>
      </c>
      <c r="H15" s="87">
        <v>3</v>
      </c>
      <c r="I15" s="87"/>
      <c r="J15" s="87"/>
      <c r="K15" s="87"/>
      <c r="L15" s="90"/>
      <c r="M15" s="90"/>
      <c r="N15" s="244">
        <f>SUM(H15:M16)</f>
        <v>6</v>
      </c>
      <c r="O15" s="274"/>
    </row>
    <row r="16" spans="1:15" ht="21.95" customHeight="1" x14ac:dyDescent="0.15">
      <c r="A16" s="268"/>
      <c r="B16" s="246"/>
      <c r="C16" s="89" t="s">
        <v>52</v>
      </c>
      <c r="D16" s="87" t="s">
        <v>21</v>
      </c>
      <c r="E16" s="87" t="s">
        <v>18</v>
      </c>
      <c r="F16" s="87">
        <v>4</v>
      </c>
      <c r="G16" s="88">
        <v>4</v>
      </c>
      <c r="H16" s="87"/>
      <c r="I16" s="87">
        <v>3</v>
      </c>
      <c r="J16" s="87"/>
      <c r="K16" s="87"/>
      <c r="L16" s="90"/>
      <c r="M16" s="90"/>
      <c r="N16" s="246"/>
      <c r="O16" s="265"/>
    </row>
    <row r="17" spans="1:15" ht="21.95" customHeight="1" x14ac:dyDescent="0.15">
      <c r="A17" s="268"/>
      <c r="B17" s="272" t="s">
        <v>7</v>
      </c>
      <c r="C17" s="89" t="s">
        <v>53</v>
      </c>
      <c r="D17" s="87" t="s">
        <v>21</v>
      </c>
      <c r="E17" s="87" t="s">
        <v>18</v>
      </c>
      <c r="F17" s="87">
        <v>4</v>
      </c>
      <c r="G17" s="88">
        <v>4</v>
      </c>
      <c r="H17" s="87">
        <v>3</v>
      </c>
      <c r="I17" s="87"/>
      <c r="J17" s="87"/>
      <c r="K17" s="87"/>
      <c r="L17" s="90"/>
      <c r="M17" s="90"/>
      <c r="N17" s="271">
        <f>SUM(H17:M20)</f>
        <v>8</v>
      </c>
      <c r="O17" s="273"/>
    </row>
    <row r="18" spans="1:15" ht="21.95" customHeight="1" x14ac:dyDescent="0.15">
      <c r="A18" s="268"/>
      <c r="B18" s="272"/>
      <c r="C18" s="89" t="s">
        <v>54</v>
      </c>
      <c r="D18" s="87" t="s">
        <v>21</v>
      </c>
      <c r="E18" s="87" t="s">
        <v>18</v>
      </c>
      <c r="F18" s="87">
        <v>4</v>
      </c>
      <c r="G18" s="88">
        <v>4</v>
      </c>
      <c r="H18" s="87"/>
      <c r="I18" s="87">
        <v>3</v>
      </c>
      <c r="J18" s="87"/>
      <c r="K18" s="87"/>
      <c r="L18" s="90"/>
      <c r="M18" s="90"/>
      <c r="N18" s="271"/>
      <c r="O18" s="273"/>
    </row>
    <row r="19" spans="1:15" ht="21.95" customHeight="1" x14ac:dyDescent="0.15">
      <c r="A19" s="268"/>
      <c r="B19" s="272"/>
      <c r="C19" s="91" t="s">
        <v>55</v>
      </c>
      <c r="D19" s="87" t="s">
        <v>21</v>
      </c>
      <c r="E19" s="87" t="s">
        <v>18</v>
      </c>
      <c r="F19" s="87">
        <v>1</v>
      </c>
      <c r="G19" s="88">
        <v>1</v>
      </c>
      <c r="H19" s="87">
        <v>1</v>
      </c>
      <c r="I19" s="87"/>
      <c r="J19" s="87"/>
      <c r="K19" s="87"/>
      <c r="L19" s="90"/>
      <c r="M19" s="90"/>
      <c r="N19" s="271"/>
      <c r="O19" s="273"/>
    </row>
    <row r="20" spans="1:15" ht="21.95" customHeight="1" x14ac:dyDescent="0.15">
      <c r="A20" s="268"/>
      <c r="B20" s="272"/>
      <c r="C20" s="91" t="s">
        <v>56</v>
      </c>
      <c r="D20" s="87" t="s">
        <v>21</v>
      </c>
      <c r="E20" s="87" t="s">
        <v>18</v>
      </c>
      <c r="F20" s="87">
        <v>1</v>
      </c>
      <c r="G20" s="88">
        <v>1</v>
      </c>
      <c r="H20" s="87"/>
      <c r="I20" s="87">
        <v>1</v>
      </c>
      <c r="J20" s="87"/>
      <c r="K20" s="87"/>
      <c r="L20" s="90"/>
      <c r="M20" s="90"/>
      <c r="N20" s="271"/>
      <c r="O20" s="273"/>
    </row>
    <row r="21" spans="1:15" ht="21.95" customHeight="1" x14ac:dyDescent="0.15">
      <c r="A21" s="268"/>
      <c r="B21" s="271" t="s">
        <v>5</v>
      </c>
      <c r="C21" s="91" t="s">
        <v>57</v>
      </c>
      <c r="D21" s="87" t="s">
        <v>21</v>
      </c>
      <c r="E21" s="88" t="s">
        <v>19</v>
      </c>
      <c r="F21" s="87">
        <v>3</v>
      </c>
      <c r="G21" s="88">
        <v>2</v>
      </c>
      <c r="H21" s="87">
        <v>2</v>
      </c>
      <c r="I21" s="87"/>
      <c r="J21" s="87"/>
      <c r="K21" s="87"/>
      <c r="L21" s="87"/>
      <c r="M21" s="87"/>
      <c r="N21" s="272">
        <f>SUM(H21:M25)</f>
        <v>12</v>
      </c>
      <c r="O21" s="273"/>
    </row>
    <row r="22" spans="1:15" ht="21.95" customHeight="1" x14ac:dyDescent="0.15">
      <c r="A22" s="268"/>
      <c r="B22" s="271"/>
      <c r="C22" s="91" t="s">
        <v>58</v>
      </c>
      <c r="D22" s="87" t="s">
        <v>21</v>
      </c>
      <c r="E22" s="88" t="s">
        <v>19</v>
      </c>
      <c r="F22" s="87">
        <v>3</v>
      </c>
      <c r="G22" s="88">
        <v>2</v>
      </c>
      <c r="H22" s="87"/>
      <c r="I22" s="87">
        <v>2</v>
      </c>
      <c r="J22" s="87"/>
      <c r="K22" s="87"/>
      <c r="L22" s="87"/>
      <c r="M22" s="87"/>
      <c r="N22" s="272"/>
      <c r="O22" s="273"/>
    </row>
    <row r="23" spans="1:15" ht="21.95" customHeight="1" x14ac:dyDescent="0.15">
      <c r="A23" s="268"/>
      <c r="B23" s="271"/>
      <c r="C23" s="91" t="s">
        <v>109</v>
      </c>
      <c r="D23" s="87" t="s">
        <v>21</v>
      </c>
      <c r="E23" s="88" t="s">
        <v>37</v>
      </c>
      <c r="F23" s="87">
        <v>3</v>
      </c>
      <c r="G23" s="88">
        <v>2</v>
      </c>
      <c r="H23" s="87"/>
      <c r="I23" s="87"/>
      <c r="J23" s="87">
        <v>2</v>
      </c>
      <c r="K23" s="87"/>
      <c r="L23" s="87"/>
      <c r="M23" s="87"/>
      <c r="N23" s="272"/>
      <c r="O23" s="273"/>
    </row>
    <row r="24" spans="1:15" ht="21.95" customHeight="1" x14ac:dyDescent="0.15">
      <c r="A24" s="268"/>
      <c r="B24" s="271"/>
      <c r="C24" s="91" t="s">
        <v>110</v>
      </c>
      <c r="D24" s="87" t="s">
        <v>21</v>
      </c>
      <c r="E24" s="88" t="s">
        <v>37</v>
      </c>
      <c r="F24" s="87">
        <v>3</v>
      </c>
      <c r="G24" s="88">
        <v>2</v>
      </c>
      <c r="H24" s="87"/>
      <c r="I24" s="87"/>
      <c r="J24" s="87"/>
      <c r="K24" s="87">
        <v>2</v>
      </c>
      <c r="L24" s="87"/>
      <c r="M24" s="87"/>
      <c r="N24" s="272"/>
      <c r="O24" s="273"/>
    </row>
    <row r="25" spans="1:15" ht="21.95" customHeight="1" x14ac:dyDescent="0.15">
      <c r="A25" s="268"/>
      <c r="B25" s="271"/>
      <c r="C25" s="87" t="s">
        <v>111</v>
      </c>
      <c r="D25" s="87" t="s">
        <v>21</v>
      </c>
      <c r="E25" s="88" t="s">
        <v>19</v>
      </c>
      <c r="F25" s="87">
        <v>5</v>
      </c>
      <c r="G25" s="88">
        <f t="shared" si="0"/>
        <v>4</v>
      </c>
      <c r="H25" s="87"/>
      <c r="I25" s="87"/>
      <c r="J25" s="87"/>
      <c r="K25" s="87"/>
      <c r="L25" s="87">
        <v>2</v>
      </c>
      <c r="M25" s="87">
        <v>2</v>
      </c>
      <c r="N25" s="272"/>
      <c r="O25" s="273"/>
    </row>
    <row r="26" spans="1:15" ht="21.95" customHeight="1" x14ac:dyDescent="0.15">
      <c r="A26" s="268"/>
      <c r="B26" s="266" t="s">
        <v>9</v>
      </c>
      <c r="C26" s="91" t="s">
        <v>24</v>
      </c>
      <c r="D26" s="91" t="s">
        <v>21</v>
      </c>
      <c r="E26" s="92" t="s">
        <v>19</v>
      </c>
      <c r="F26" s="87">
        <v>3</v>
      </c>
      <c r="G26" s="88">
        <v>2</v>
      </c>
      <c r="H26" s="87">
        <v>2</v>
      </c>
      <c r="I26" s="87"/>
      <c r="J26" s="87"/>
      <c r="K26" s="87"/>
      <c r="L26" s="87"/>
      <c r="M26" s="87"/>
      <c r="N26" s="271">
        <f>SUM(H26:M31)</f>
        <v>14</v>
      </c>
      <c r="O26" s="258"/>
    </row>
    <row r="27" spans="1:15" ht="21.95" customHeight="1" x14ac:dyDescent="0.15">
      <c r="A27" s="268"/>
      <c r="B27" s="266"/>
      <c r="C27" s="91" t="s">
        <v>112</v>
      </c>
      <c r="D27" s="91" t="s">
        <v>21</v>
      </c>
      <c r="E27" s="92" t="s">
        <v>20</v>
      </c>
      <c r="F27" s="87">
        <v>3</v>
      </c>
      <c r="G27" s="88">
        <v>2</v>
      </c>
      <c r="H27" s="87"/>
      <c r="I27" s="87">
        <v>2</v>
      </c>
      <c r="J27" s="87"/>
      <c r="K27" s="87"/>
      <c r="L27" s="87"/>
      <c r="M27" s="87"/>
      <c r="N27" s="271"/>
      <c r="O27" s="258"/>
    </row>
    <row r="28" spans="1:15" ht="21.95" customHeight="1" x14ac:dyDescent="0.15">
      <c r="A28" s="268"/>
      <c r="B28" s="266"/>
      <c r="C28" s="91" t="s">
        <v>113</v>
      </c>
      <c r="D28" s="91" t="s">
        <v>21</v>
      </c>
      <c r="E28" s="92" t="s">
        <v>20</v>
      </c>
      <c r="F28" s="87">
        <v>3</v>
      </c>
      <c r="G28" s="88">
        <v>2</v>
      </c>
      <c r="H28" s="87"/>
      <c r="I28" s="87"/>
      <c r="J28" s="87">
        <v>2</v>
      </c>
      <c r="K28" s="87"/>
      <c r="L28" s="87"/>
      <c r="M28" s="87"/>
      <c r="N28" s="271"/>
      <c r="O28" s="258"/>
    </row>
    <row r="29" spans="1:15" ht="21.95" customHeight="1" x14ac:dyDescent="0.15">
      <c r="A29" s="268"/>
      <c r="B29" s="266"/>
      <c r="C29" s="91" t="s">
        <v>41</v>
      </c>
      <c r="D29" s="91" t="s">
        <v>21</v>
      </c>
      <c r="E29" s="92" t="s">
        <v>37</v>
      </c>
      <c r="F29" s="87">
        <v>3</v>
      </c>
      <c r="G29" s="88">
        <v>2</v>
      </c>
      <c r="H29" s="87"/>
      <c r="I29" s="87"/>
      <c r="J29" s="87"/>
      <c r="K29" s="87">
        <v>2</v>
      </c>
      <c r="L29" s="87"/>
      <c r="M29" s="87"/>
      <c r="N29" s="271"/>
      <c r="O29" s="258"/>
    </row>
    <row r="30" spans="1:15" ht="21.95" customHeight="1" x14ac:dyDescent="0.15">
      <c r="A30" s="268"/>
      <c r="B30" s="266"/>
      <c r="C30" s="91" t="s">
        <v>63</v>
      </c>
      <c r="D30" s="91" t="s">
        <v>21</v>
      </c>
      <c r="E30" s="92" t="s">
        <v>20</v>
      </c>
      <c r="F30" s="87">
        <v>5</v>
      </c>
      <c r="G30" s="88">
        <f t="shared" si="0"/>
        <v>2</v>
      </c>
      <c r="H30" s="87"/>
      <c r="I30" s="87"/>
      <c r="J30" s="87"/>
      <c r="K30" s="87"/>
      <c r="L30" s="87">
        <v>1</v>
      </c>
      <c r="M30" s="87">
        <v>1</v>
      </c>
      <c r="N30" s="271"/>
      <c r="O30" s="258"/>
    </row>
    <row r="31" spans="1:15" ht="21.95" customHeight="1" x14ac:dyDescent="0.15">
      <c r="A31" s="268"/>
      <c r="B31" s="266"/>
      <c r="C31" s="91" t="s">
        <v>113</v>
      </c>
      <c r="D31" s="91" t="s">
        <v>21</v>
      </c>
      <c r="E31" s="92" t="s">
        <v>20</v>
      </c>
      <c r="F31" s="87">
        <v>5</v>
      </c>
      <c r="G31" s="88">
        <f t="shared" si="0"/>
        <v>4</v>
      </c>
      <c r="H31" s="87"/>
      <c r="I31" s="87"/>
      <c r="J31" s="87"/>
      <c r="K31" s="87"/>
      <c r="L31" s="87">
        <v>2</v>
      </c>
      <c r="M31" s="87">
        <v>2</v>
      </c>
      <c r="N31" s="271"/>
      <c r="O31" s="258"/>
    </row>
    <row r="32" spans="1:15" ht="21.95" customHeight="1" x14ac:dyDescent="0.15">
      <c r="A32" s="268"/>
      <c r="B32" s="240" t="s">
        <v>81</v>
      </c>
      <c r="C32" s="91" t="s">
        <v>81</v>
      </c>
      <c r="D32" s="91" t="s">
        <v>21</v>
      </c>
      <c r="E32" s="92" t="s">
        <v>19</v>
      </c>
      <c r="F32" s="87">
        <v>4</v>
      </c>
      <c r="G32" s="88">
        <v>3</v>
      </c>
      <c r="H32" s="87">
        <v>3</v>
      </c>
      <c r="I32" s="87"/>
      <c r="J32" s="87">
        <v>3</v>
      </c>
      <c r="K32" s="87"/>
      <c r="L32" s="87"/>
      <c r="M32" s="87"/>
      <c r="N32" s="250">
        <f>SUM(H32:M34)</f>
        <v>14</v>
      </c>
      <c r="O32" s="93"/>
    </row>
    <row r="33" spans="1:15" ht="21.95" customHeight="1" x14ac:dyDescent="0.15">
      <c r="A33" s="268"/>
      <c r="B33" s="241"/>
      <c r="C33" s="94" t="s">
        <v>114</v>
      </c>
      <c r="D33" s="91" t="s">
        <v>21</v>
      </c>
      <c r="E33" s="91" t="s">
        <v>20</v>
      </c>
      <c r="F33" s="87">
        <v>4</v>
      </c>
      <c r="G33" s="88">
        <v>3</v>
      </c>
      <c r="H33" s="87"/>
      <c r="I33" s="87">
        <v>3</v>
      </c>
      <c r="J33" s="87"/>
      <c r="K33" s="87">
        <v>3</v>
      </c>
      <c r="L33" s="87"/>
      <c r="M33" s="87"/>
      <c r="N33" s="223"/>
      <c r="O33" s="258"/>
    </row>
    <row r="34" spans="1:15" ht="21.95" customHeight="1" x14ac:dyDescent="0.15">
      <c r="A34" s="268"/>
      <c r="B34" s="95" t="s">
        <v>25</v>
      </c>
      <c r="C34" s="94" t="s">
        <v>88</v>
      </c>
      <c r="D34" s="91" t="s">
        <v>21</v>
      </c>
      <c r="E34" s="92" t="s">
        <v>19</v>
      </c>
      <c r="F34" s="87">
        <v>3</v>
      </c>
      <c r="G34" s="88">
        <v>2</v>
      </c>
      <c r="H34" s="87">
        <v>2</v>
      </c>
      <c r="I34" s="87"/>
      <c r="J34" s="87"/>
      <c r="K34" s="87"/>
      <c r="L34" s="87"/>
      <c r="M34" s="87"/>
      <c r="N34" s="223"/>
      <c r="O34" s="258"/>
    </row>
    <row r="35" spans="1:15" ht="21.95" customHeight="1" thickBot="1" x14ac:dyDescent="0.2">
      <c r="A35" s="269"/>
      <c r="B35" s="259"/>
      <c r="C35" s="259"/>
      <c r="D35" s="259"/>
      <c r="E35" s="259"/>
      <c r="F35" s="96"/>
      <c r="G35" s="96"/>
      <c r="H35" s="96">
        <f t="shared" ref="H35:N35" si="1">SUM(H5:H34)</f>
        <v>30</v>
      </c>
      <c r="I35" s="96">
        <f t="shared" si="1"/>
        <v>28</v>
      </c>
      <c r="J35" s="96">
        <f t="shared" si="1"/>
        <v>7</v>
      </c>
      <c r="K35" s="96">
        <f t="shared" si="1"/>
        <v>7</v>
      </c>
      <c r="L35" s="96">
        <f t="shared" si="1"/>
        <v>8</v>
      </c>
      <c r="M35" s="96">
        <f t="shared" si="1"/>
        <v>8</v>
      </c>
      <c r="N35" s="97">
        <f t="shared" si="1"/>
        <v>88</v>
      </c>
      <c r="O35" s="98"/>
    </row>
    <row r="36" spans="1:15" ht="21.95" customHeight="1" thickBot="1" x14ac:dyDescent="0.2">
      <c r="A36" s="260" t="s">
        <v>115</v>
      </c>
      <c r="B36" s="99" t="s">
        <v>25</v>
      </c>
      <c r="C36" s="95" t="s">
        <v>116</v>
      </c>
      <c r="D36" s="95" t="s">
        <v>39</v>
      </c>
      <c r="E36" s="95" t="s">
        <v>20</v>
      </c>
      <c r="F36" s="100">
        <v>3</v>
      </c>
      <c r="G36" s="100">
        <v>2</v>
      </c>
      <c r="H36" s="100"/>
      <c r="I36" s="100">
        <v>2</v>
      </c>
      <c r="J36" s="100"/>
      <c r="K36" s="100"/>
      <c r="L36" s="100"/>
      <c r="M36" s="100"/>
      <c r="N36" s="101">
        <v>2</v>
      </c>
      <c r="O36" s="102"/>
    </row>
    <row r="37" spans="1:15" ht="21.95" customHeight="1" x14ac:dyDescent="0.15">
      <c r="A37" s="261"/>
      <c r="B37" s="252" t="s">
        <v>23</v>
      </c>
      <c r="C37" s="95" t="s">
        <v>117</v>
      </c>
      <c r="D37" s="95" t="s">
        <v>118</v>
      </c>
      <c r="E37" s="95" t="s">
        <v>19</v>
      </c>
      <c r="F37" s="100">
        <v>4</v>
      </c>
      <c r="G37" s="100">
        <v>3</v>
      </c>
      <c r="H37" s="100"/>
      <c r="I37" s="100"/>
      <c r="J37" s="100">
        <v>3</v>
      </c>
      <c r="K37" s="100"/>
      <c r="L37" s="100"/>
      <c r="M37" s="100"/>
      <c r="N37" s="101">
        <f>SUM(H37:M37)</f>
        <v>3</v>
      </c>
      <c r="O37" s="263"/>
    </row>
    <row r="38" spans="1:15" ht="21.95" customHeight="1" x14ac:dyDescent="0.15">
      <c r="A38" s="261"/>
      <c r="B38" s="253"/>
      <c r="C38" s="95" t="s">
        <v>119</v>
      </c>
      <c r="D38" s="95" t="s">
        <v>39</v>
      </c>
      <c r="E38" s="95" t="s">
        <v>120</v>
      </c>
      <c r="F38" s="100">
        <v>4</v>
      </c>
      <c r="G38" s="100">
        <v>3</v>
      </c>
      <c r="H38" s="100"/>
      <c r="I38" s="100"/>
      <c r="J38" s="100"/>
      <c r="K38" s="100">
        <v>3</v>
      </c>
      <c r="L38" s="100"/>
      <c r="M38" s="100"/>
      <c r="N38" s="101">
        <f>SUM(H38:M38)</f>
        <v>3</v>
      </c>
      <c r="O38" s="264"/>
    </row>
    <row r="39" spans="1:15" ht="21.95" customHeight="1" x14ac:dyDescent="0.15">
      <c r="A39" s="261"/>
      <c r="B39" s="251" t="s">
        <v>121</v>
      </c>
      <c r="C39" s="266" t="s">
        <v>122</v>
      </c>
      <c r="D39" s="240" t="s">
        <v>79</v>
      </c>
      <c r="E39" s="270" t="s">
        <v>123</v>
      </c>
      <c r="F39" s="100">
        <v>5</v>
      </c>
      <c r="G39" s="100">
        <f t="shared" ref="G39:G53" si="2">SUM(H39:M39)</f>
        <v>6</v>
      </c>
      <c r="H39" s="100"/>
      <c r="I39" s="100"/>
      <c r="J39" s="100"/>
      <c r="K39" s="100"/>
      <c r="L39" s="100">
        <v>3</v>
      </c>
      <c r="M39" s="100">
        <v>3</v>
      </c>
      <c r="N39" s="103">
        <f>SUM(L39:M39)</f>
        <v>6</v>
      </c>
      <c r="O39" s="264"/>
    </row>
    <row r="40" spans="1:15" ht="21.95" customHeight="1" x14ac:dyDescent="0.15">
      <c r="A40" s="261"/>
      <c r="B40" s="252"/>
      <c r="C40" s="266"/>
      <c r="D40" s="254"/>
      <c r="E40" s="257"/>
      <c r="F40" s="100">
        <v>5</v>
      </c>
      <c r="G40" s="100">
        <f t="shared" si="2"/>
        <v>6</v>
      </c>
      <c r="H40" s="100"/>
      <c r="I40" s="100"/>
      <c r="J40" s="100"/>
      <c r="K40" s="100"/>
      <c r="L40" s="100">
        <v>3</v>
      </c>
      <c r="M40" s="100">
        <v>3</v>
      </c>
      <c r="N40" s="104">
        <f>SUM(L40:M40)</f>
        <v>6</v>
      </c>
      <c r="O40" s="264"/>
    </row>
    <row r="41" spans="1:15" ht="21.95" customHeight="1" x14ac:dyDescent="0.15">
      <c r="A41" s="261"/>
      <c r="B41" s="253"/>
      <c r="C41" s="105" t="s">
        <v>124</v>
      </c>
      <c r="D41" s="94" t="s">
        <v>39</v>
      </c>
      <c r="E41" s="106" t="s">
        <v>20</v>
      </c>
      <c r="F41" s="100">
        <v>5</v>
      </c>
      <c r="G41" s="100">
        <f t="shared" si="2"/>
        <v>4</v>
      </c>
      <c r="H41" s="100"/>
      <c r="I41" s="100"/>
      <c r="J41" s="100"/>
      <c r="K41" s="100"/>
      <c r="L41" s="100">
        <v>2</v>
      </c>
      <c r="M41" s="100">
        <v>2</v>
      </c>
      <c r="N41" s="101">
        <f>SUM(H41:M41)</f>
        <v>4</v>
      </c>
      <c r="O41" s="264"/>
    </row>
    <row r="42" spans="1:15" ht="21.95" customHeight="1" x14ac:dyDescent="0.15">
      <c r="A42" s="261"/>
      <c r="B42" s="251" t="s">
        <v>125</v>
      </c>
      <c r="C42" s="240" t="s">
        <v>126</v>
      </c>
      <c r="D42" s="240" t="s">
        <v>127</v>
      </c>
      <c r="E42" s="240" t="s">
        <v>128</v>
      </c>
      <c r="F42" s="244">
        <v>4</v>
      </c>
      <c r="G42" s="244">
        <v>20</v>
      </c>
      <c r="H42" s="244"/>
      <c r="I42" s="244"/>
      <c r="J42" s="244">
        <v>20</v>
      </c>
      <c r="K42" s="244"/>
      <c r="L42" s="244"/>
      <c r="M42" s="244"/>
      <c r="N42" s="250">
        <f>SUM(H42:M45)</f>
        <v>20</v>
      </c>
      <c r="O42" s="264"/>
    </row>
    <row r="43" spans="1:15" ht="21.95" customHeight="1" x14ac:dyDescent="0.15">
      <c r="A43" s="261"/>
      <c r="B43" s="252"/>
      <c r="C43" s="254"/>
      <c r="D43" s="254"/>
      <c r="E43" s="254"/>
      <c r="F43" s="245"/>
      <c r="G43" s="245"/>
      <c r="H43" s="245"/>
      <c r="I43" s="245"/>
      <c r="J43" s="245"/>
      <c r="K43" s="245"/>
      <c r="L43" s="245"/>
      <c r="M43" s="245"/>
      <c r="N43" s="223"/>
      <c r="O43" s="264"/>
    </row>
    <row r="44" spans="1:15" ht="21.95" customHeight="1" x14ac:dyDescent="0.15">
      <c r="A44" s="261"/>
      <c r="B44" s="252"/>
      <c r="C44" s="254"/>
      <c r="D44" s="254"/>
      <c r="E44" s="254"/>
      <c r="F44" s="245"/>
      <c r="G44" s="245"/>
      <c r="H44" s="245"/>
      <c r="I44" s="245"/>
      <c r="J44" s="245"/>
      <c r="K44" s="245"/>
      <c r="L44" s="245"/>
      <c r="M44" s="245"/>
      <c r="N44" s="223"/>
      <c r="O44" s="264"/>
    </row>
    <row r="45" spans="1:15" ht="21.95" customHeight="1" x14ac:dyDescent="0.15">
      <c r="A45" s="261"/>
      <c r="B45" s="253"/>
      <c r="C45" s="241"/>
      <c r="D45" s="241"/>
      <c r="E45" s="241"/>
      <c r="F45" s="246"/>
      <c r="G45" s="246"/>
      <c r="H45" s="246"/>
      <c r="I45" s="246"/>
      <c r="J45" s="246"/>
      <c r="K45" s="246"/>
      <c r="L45" s="246"/>
      <c r="M45" s="246"/>
      <c r="N45" s="224"/>
      <c r="O45" s="264"/>
    </row>
    <row r="46" spans="1:15" ht="21.95" customHeight="1" x14ac:dyDescent="0.15">
      <c r="A46" s="261"/>
      <c r="B46" s="239" t="s">
        <v>129</v>
      </c>
      <c r="C46" s="251" t="s">
        <v>130</v>
      </c>
      <c r="D46" s="240" t="s">
        <v>127</v>
      </c>
      <c r="E46" s="255" t="s">
        <v>131</v>
      </c>
      <c r="F46" s="244">
        <v>4</v>
      </c>
      <c r="G46" s="244">
        <v>20</v>
      </c>
      <c r="H46" s="244"/>
      <c r="I46" s="244"/>
      <c r="J46" s="244"/>
      <c r="K46" s="247">
        <v>20</v>
      </c>
      <c r="L46" s="244"/>
      <c r="M46" s="244"/>
      <c r="N46" s="222">
        <f>SUM(H46:M48)</f>
        <v>20</v>
      </c>
      <c r="O46" s="264"/>
    </row>
    <row r="47" spans="1:15" ht="21.95" customHeight="1" x14ac:dyDescent="0.15">
      <c r="A47" s="261"/>
      <c r="B47" s="239"/>
      <c r="C47" s="252"/>
      <c r="D47" s="254"/>
      <c r="E47" s="256"/>
      <c r="F47" s="245"/>
      <c r="G47" s="245"/>
      <c r="H47" s="245"/>
      <c r="I47" s="245"/>
      <c r="J47" s="245"/>
      <c r="K47" s="248"/>
      <c r="L47" s="245"/>
      <c r="M47" s="245"/>
      <c r="N47" s="223"/>
      <c r="O47" s="264"/>
    </row>
    <row r="48" spans="1:15" ht="28.5" customHeight="1" x14ac:dyDescent="0.15">
      <c r="A48" s="261"/>
      <c r="B48" s="239"/>
      <c r="C48" s="253"/>
      <c r="D48" s="241"/>
      <c r="E48" s="257"/>
      <c r="F48" s="246"/>
      <c r="G48" s="246"/>
      <c r="H48" s="246"/>
      <c r="I48" s="246"/>
      <c r="J48" s="246"/>
      <c r="K48" s="249"/>
      <c r="L48" s="246"/>
      <c r="M48" s="246"/>
      <c r="N48" s="224"/>
      <c r="O48" s="264"/>
    </row>
    <row r="49" spans="1:15" ht="50.1" customHeight="1" x14ac:dyDescent="0.15">
      <c r="A49" s="261"/>
      <c r="B49" s="107" t="s">
        <v>132</v>
      </c>
      <c r="C49" s="95" t="s">
        <v>133</v>
      </c>
      <c r="D49" s="95" t="s">
        <v>39</v>
      </c>
      <c r="E49" s="106" t="s">
        <v>134</v>
      </c>
      <c r="F49" s="100">
        <v>5</v>
      </c>
      <c r="G49" s="100">
        <f t="shared" si="2"/>
        <v>2</v>
      </c>
      <c r="H49" s="100"/>
      <c r="I49" s="100"/>
      <c r="J49" s="100"/>
      <c r="K49" s="108"/>
      <c r="L49" s="100">
        <v>2</v>
      </c>
      <c r="M49" s="100"/>
      <c r="N49" s="104">
        <f>SUM(H49:M49)</f>
        <v>2</v>
      </c>
      <c r="O49" s="264"/>
    </row>
    <row r="50" spans="1:15" ht="30" customHeight="1" x14ac:dyDescent="0.15">
      <c r="A50" s="261"/>
      <c r="B50" s="239" t="s">
        <v>135</v>
      </c>
      <c r="C50" s="240" t="s">
        <v>136</v>
      </c>
      <c r="D50" s="240" t="s">
        <v>79</v>
      </c>
      <c r="E50" s="242" t="s">
        <v>20</v>
      </c>
      <c r="F50" s="100">
        <v>5</v>
      </c>
      <c r="G50" s="100">
        <f t="shared" si="2"/>
        <v>6</v>
      </c>
      <c r="H50" s="100"/>
      <c r="I50" s="100"/>
      <c r="J50" s="100"/>
      <c r="K50" s="108"/>
      <c r="L50" s="100">
        <v>3</v>
      </c>
      <c r="M50" s="100">
        <v>3</v>
      </c>
      <c r="N50" s="103">
        <f>SUM(L50:M50)</f>
        <v>6</v>
      </c>
      <c r="O50" s="264"/>
    </row>
    <row r="51" spans="1:15" ht="30" customHeight="1" x14ac:dyDescent="0.15">
      <c r="A51" s="261"/>
      <c r="B51" s="239"/>
      <c r="C51" s="241"/>
      <c r="D51" s="241"/>
      <c r="E51" s="243"/>
      <c r="F51" s="100">
        <v>5</v>
      </c>
      <c r="G51" s="100">
        <f t="shared" si="2"/>
        <v>6</v>
      </c>
      <c r="H51" s="100"/>
      <c r="I51" s="100"/>
      <c r="J51" s="100"/>
      <c r="K51" s="108"/>
      <c r="L51" s="100">
        <v>3</v>
      </c>
      <c r="M51" s="100">
        <v>3</v>
      </c>
      <c r="N51" s="104">
        <f>SUM(L51:M51)</f>
        <v>6</v>
      </c>
      <c r="O51" s="264"/>
    </row>
    <row r="52" spans="1:15" ht="21.75" customHeight="1" x14ac:dyDescent="0.15">
      <c r="A52" s="261"/>
      <c r="B52" s="109" t="s">
        <v>137</v>
      </c>
      <c r="C52" s="95" t="s">
        <v>138</v>
      </c>
      <c r="D52" s="95" t="s">
        <v>39</v>
      </c>
      <c r="E52" s="110" t="s">
        <v>19</v>
      </c>
      <c r="F52" s="100">
        <v>5</v>
      </c>
      <c r="G52" s="100">
        <f t="shared" si="2"/>
        <v>4</v>
      </c>
      <c r="H52" s="100"/>
      <c r="I52" s="100"/>
      <c r="J52" s="100"/>
      <c r="K52" s="108"/>
      <c r="L52" s="100">
        <v>2</v>
      </c>
      <c r="M52" s="100">
        <v>2</v>
      </c>
      <c r="N52" s="104">
        <f>SUM(L52:M52)</f>
        <v>4</v>
      </c>
      <c r="O52" s="264"/>
    </row>
    <row r="53" spans="1:15" ht="67.5" customHeight="1" x14ac:dyDescent="0.15">
      <c r="A53" s="262"/>
      <c r="B53" s="107" t="s">
        <v>135</v>
      </c>
      <c r="C53" s="95" t="s">
        <v>139</v>
      </c>
      <c r="D53" s="95" t="s">
        <v>39</v>
      </c>
      <c r="E53" s="106" t="s">
        <v>20</v>
      </c>
      <c r="F53" s="100">
        <v>5</v>
      </c>
      <c r="G53" s="100">
        <f t="shared" si="2"/>
        <v>4</v>
      </c>
      <c r="H53" s="100"/>
      <c r="I53" s="100"/>
      <c r="J53" s="100"/>
      <c r="K53" s="108"/>
      <c r="L53" s="100">
        <v>2</v>
      </c>
      <c r="M53" s="100">
        <v>2</v>
      </c>
      <c r="N53" s="101">
        <f>SUM(L53:M53)</f>
        <v>4</v>
      </c>
      <c r="O53" s="265"/>
    </row>
    <row r="54" spans="1:15" ht="21.75" customHeight="1" thickBot="1" x14ac:dyDescent="0.2">
      <c r="A54" s="227" t="s">
        <v>140</v>
      </c>
      <c r="B54" s="228"/>
      <c r="C54" s="228"/>
      <c r="D54" s="228"/>
      <c r="E54" s="228"/>
      <c r="F54" s="228"/>
      <c r="G54" s="229"/>
      <c r="H54" s="96">
        <f t="shared" ref="H54:N54" si="3">SUM(H36:H53)</f>
        <v>0</v>
      </c>
      <c r="I54" s="114">
        <f t="shared" si="3"/>
        <v>2</v>
      </c>
      <c r="J54" s="114">
        <f t="shared" si="3"/>
        <v>23</v>
      </c>
      <c r="K54" s="114">
        <f t="shared" si="3"/>
        <v>23</v>
      </c>
      <c r="L54" s="114">
        <f t="shared" si="3"/>
        <v>20</v>
      </c>
      <c r="M54" s="114">
        <f t="shared" si="3"/>
        <v>18</v>
      </c>
      <c r="N54" s="114">
        <f t="shared" si="3"/>
        <v>86</v>
      </c>
      <c r="O54" s="132"/>
    </row>
    <row r="55" spans="1:15" ht="21.75" customHeight="1" x14ac:dyDescent="0.15">
      <c r="A55" s="230" t="s">
        <v>141</v>
      </c>
      <c r="B55" s="231"/>
      <c r="C55" s="231"/>
      <c r="D55" s="231"/>
      <c r="E55" s="231"/>
      <c r="F55" s="231"/>
      <c r="G55" s="232"/>
      <c r="H55" s="88">
        <f t="shared" ref="H55:M55" si="4">SUM(H35+H54)</f>
        <v>30</v>
      </c>
      <c r="I55" s="88">
        <f t="shared" si="4"/>
        <v>30</v>
      </c>
      <c r="J55" s="88">
        <f t="shared" si="4"/>
        <v>30</v>
      </c>
      <c r="K55" s="88">
        <f t="shared" si="4"/>
        <v>30</v>
      </c>
      <c r="L55" s="88">
        <f t="shared" si="4"/>
        <v>28</v>
      </c>
      <c r="M55" s="88">
        <f t="shared" si="4"/>
        <v>26</v>
      </c>
      <c r="N55" s="88">
        <f>SUM(H55:M55)</f>
        <v>174</v>
      </c>
      <c r="O55" s="111"/>
    </row>
    <row r="56" spans="1:15" ht="21.75" customHeight="1" x14ac:dyDescent="0.2">
      <c r="A56" s="233" t="s">
        <v>14</v>
      </c>
      <c r="B56" s="234"/>
      <c r="C56" s="234"/>
      <c r="D56" s="234"/>
      <c r="E56" s="234"/>
      <c r="F56" s="234"/>
      <c r="G56" s="235"/>
      <c r="H56" s="87">
        <v>3</v>
      </c>
      <c r="I56" s="87">
        <v>3</v>
      </c>
      <c r="J56" s="87">
        <v>3</v>
      </c>
      <c r="K56" s="87">
        <v>3</v>
      </c>
      <c r="L56" s="87">
        <v>3</v>
      </c>
      <c r="M56" s="87">
        <v>3</v>
      </c>
      <c r="N56" s="87">
        <f>SUM(H56:M56)</f>
        <v>18</v>
      </c>
      <c r="O56" s="112"/>
    </row>
    <row r="57" spans="1:15" ht="21.75" customHeight="1" x14ac:dyDescent="0.2">
      <c r="A57" s="233" t="s">
        <v>142</v>
      </c>
      <c r="B57" s="234"/>
      <c r="C57" s="234"/>
      <c r="D57" s="234"/>
      <c r="E57" s="234"/>
      <c r="F57" s="234"/>
      <c r="G57" s="235"/>
      <c r="H57" s="87">
        <f t="shared" ref="H57:M57" si="5">SUM(H55:H56)</f>
        <v>33</v>
      </c>
      <c r="I57" s="87">
        <f t="shared" si="5"/>
        <v>33</v>
      </c>
      <c r="J57" s="87">
        <f t="shared" si="5"/>
        <v>33</v>
      </c>
      <c r="K57" s="87">
        <f t="shared" si="5"/>
        <v>33</v>
      </c>
      <c r="L57" s="87">
        <f t="shared" si="5"/>
        <v>31</v>
      </c>
      <c r="M57" s="87">
        <f t="shared" si="5"/>
        <v>29</v>
      </c>
      <c r="N57" s="87">
        <f>SUM(H57:M57)</f>
        <v>192</v>
      </c>
      <c r="O57" s="112"/>
    </row>
    <row r="58" spans="1:15" ht="21.75" customHeight="1" thickBot="1" x14ac:dyDescent="0.25">
      <c r="A58" s="236" t="s">
        <v>143</v>
      </c>
      <c r="B58" s="237"/>
      <c r="C58" s="237"/>
      <c r="D58" s="237"/>
      <c r="E58" s="237"/>
      <c r="F58" s="237"/>
      <c r="G58" s="238"/>
      <c r="H58" s="225">
        <f>SUM(H57:I57)</f>
        <v>66</v>
      </c>
      <c r="I58" s="225"/>
      <c r="J58" s="225">
        <f t="shared" ref="J58" si="6">SUM(J57:K57)</f>
        <v>66</v>
      </c>
      <c r="K58" s="225"/>
      <c r="L58" s="225">
        <f t="shared" ref="L58" si="7">SUM(L57:M57)</f>
        <v>60</v>
      </c>
      <c r="M58" s="225"/>
      <c r="N58" s="96">
        <f>SUM(H58:M58)</f>
        <v>192</v>
      </c>
      <c r="O58" s="113"/>
    </row>
    <row r="59" spans="1:15" ht="21.95" customHeight="1" thickBot="1" x14ac:dyDescent="0.2">
      <c r="A59" s="226" t="s">
        <v>144</v>
      </c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</row>
    <row r="60" spans="1:15" x14ac:dyDescent="0.15">
      <c r="A60" s="208" t="s">
        <v>154</v>
      </c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10"/>
    </row>
    <row r="61" spans="1:15" x14ac:dyDescent="0.15">
      <c r="A61" s="211" t="s">
        <v>8</v>
      </c>
      <c r="B61" s="202" t="s">
        <v>13</v>
      </c>
      <c r="C61" s="214" t="s">
        <v>149</v>
      </c>
      <c r="D61" s="216" t="s">
        <v>17</v>
      </c>
      <c r="E61" s="214" t="s">
        <v>22</v>
      </c>
      <c r="F61" s="214" t="s">
        <v>150</v>
      </c>
      <c r="G61" s="214" t="s">
        <v>151</v>
      </c>
      <c r="H61" s="202" t="s">
        <v>2</v>
      </c>
      <c r="I61" s="202"/>
      <c r="J61" s="202" t="s">
        <v>12</v>
      </c>
      <c r="K61" s="202"/>
      <c r="L61" s="202" t="s">
        <v>11</v>
      </c>
      <c r="M61" s="202"/>
      <c r="N61" s="214" t="s">
        <v>28</v>
      </c>
      <c r="O61" s="219" t="s">
        <v>152</v>
      </c>
    </row>
    <row r="62" spans="1:15" x14ac:dyDescent="0.15">
      <c r="A62" s="212"/>
      <c r="B62" s="202"/>
      <c r="C62" s="214"/>
      <c r="D62" s="217"/>
      <c r="E62" s="214"/>
      <c r="F62" s="214"/>
      <c r="G62" s="214"/>
      <c r="H62" s="202" t="s">
        <v>0</v>
      </c>
      <c r="I62" s="202" t="s">
        <v>3</v>
      </c>
      <c r="J62" s="202" t="s">
        <v>0</v>
      </c>
      <c r="K62" s="202" t="s">
        <v>3</v>
      </c>
      <c r="L62" s="202" t="s">
        <v>0</v>
      </c>
      <c r="M62" s="202" t="s">
        <v>3</v>
      </c>
      <c r="N62" s="202"/>
      <c r="O62" s="220"/>
    </row>
    <row r="63" spans="1:15" ht="14.25" thickBot="1" x14ac:dyDescent="0.2">
      <c r="A63" s="213"/>
      <c r="B63" s="203"/>
      <c r="C63" s="215"/>
      <c r="D63" s="218"/>
      <c r="E63" s="215"/>
      <c r="F63" s="215"/>
      <c r="G63" s="215"/>
      <c r="H63" s="203"/>
      <c r="I63" s="203"/>
      <c r="J63" s="203"/>
      <c r="K63" s="203"/>
      <c r="L63" s="203"/>
      <c r="M63" s="203"/>
      <c r="N63" s="203"/>
      <c r="O63" s="221"/>
    </row>
    <row r="64" spans="1:15" x14ac:dyDescent="0.15">
      <c r="A64" s="204" t="s">
        <v>153</v>
      </c>
      <c r="B64" s="115" t="s">
        <v>145</v>
      </c>
      <c r="C64" s="116" t="s">
        <v>146</v>
      </c>
      <c r="D64" s="127" t="s">
        <v>39</v>
      </c>
      <c r="E64" s="116" t="s">
        <v>147</v>
      </c>
      <c r="F64" s="116" t="s">
        <v>148</v>
      </c>
      <c r="G64" s="116">
        <v>3</v>
      </c>
      <c r="H64" s="116"/>
      <c r="I64" s="116"/>
      <c r="J64" s="117"/>
      <c r="K64" s="116">
        <v>3</v>
      </c>
      <c r="L64" s="116"/>
      <c r="M64" s="116"/>
      <c r="N64" s="116">
        <v>3</v>
      </c>
      <c r="O64" s="118"/>
    </row>
    <row r="65" spans="1:15" x14ac:dyDescent="0.15">
      <c r="A65" s="205"/>
      <c r="B65" s="119"/>
      <c r="C65" s="120"/>
      <c r="D65" s="121"/>
      <c r="E65" s="120"/>
      <c r="F65" s="120"/>
      <c r="G65" s="120"/>
      <c r="H65" s="120"/>
      <c r="I65" s="120"/>
      <c r="J65" s="122"/>
      <c r="K65" s="120"/>
      <c r="L65" s="120"/>
      <c r="M65" s="120"/>
      <c r="N65" s="120"/>
      <c r="O65" s="123"/>
    </row>
    <row r="66" spans="1:15" x14ac:dyDescent="0.15">
      <c r="A66" s="206"/>
      <c r="B66" s="124"/>
      <c r="C66" s="125"/>
      <c r="D66" s="121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6"/>
    </row>
    <row r="67" spans="1:15" x14ac:dyDescent="0.15">
      <c r="A67" s="206"/>
      <c r="B67" s="124"/>
      <c r="C67" s="125"/>
      <c r="D67" s="121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6"/>
    </row>
    <row r="68" spans="1:15" x14ac:dyDescent="0.15">
      <c r="A68" s="206"/>
      <c r="B68" s="124"/>
      <c r="C68" s="125"/>
      <c r="D68" s="121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6"/>
    </row>
    <row r="69" spans="1:15" ht="14.25" thickBot="1" x14ac:dyDescent="0.2">
      <c r="A69" s="207"/>
      <c r="B69" s="128"/>
      <c r="C69" s="129"/>
      <c r="D69" s="130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31"/>
    </row>
  </sheetData>
  <mergeCells count="110">
    <mergeCell ref="B5:B6"/>
    <mergeCell ref="N5:N6"/>
    <mergeCell ref="O5:O6"/>
    <mergeCell ref="B7:B8"/>
    <mergeCell ref="N7:N8"/>
    <mergeCell ref="O7:O8"/>
    <mergeCell ref="A1:O1"/>
    <mergeCell ref="A2:B2"/>
    <mergeCell ref="C2:O2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L3:M3"/>
    <mergeCell ref="N3:N4"/>
    <mergeCell ref="O3:O4"/>
    <mergeCell ref="N15:N16"/>
    <mergeCell ref="O15:O16"/>
    <mergeCell ref="B17:B20"/>
    <mergeCell ref="N17:N20"/>
    <mergeCell ref="O17:O20"/>
    <mergeCell ref="B13:B14"/>
    <mergeCell ref="N13:N14"/>
    <mergeCell ref="O13:O14"/>
    <mergeCell ref="B9:B12"/>
    <mergeCell ref="N9:N12"/>
    <mergeCell ref="B32:B33"/>
    <mergeCell ref="N32:N34"/>
    <mergeCell ref="O33:O34"/>
    <mergeCell ref="B35:E35"/>
    <mergeCell ref="A36:A53"/>
    <mergeCell ref="B37:B38"/>
    <mergeCell ref="O37:O53"/>
    <mergeCell ref="B39:B41"/>
    <mergeCell ref="C39:C40"/>
    <mergeCell ref="D39:D40"/>
    <mergeCell ref="A5:A35"/>
    <mergeCell ref="E39:E40"/>
    <mergeCell ref="B42:B45"/>
    <mergeCell ref="C42:C45"/>
    <mergeCell ref="D42:D45"/>
    <mergeCell ref="E42:E45"/>
    <mergeCell ref="B21:B25"/>
    <mergeCell ref="N21:N25"/>
    <mergeCell ref="O21:O25"/>
    <mergeCell ref="B26:B31"/>
    <mergeCell ref="N26:N31"/>
    <mergeCell ref="O26:O31"/>
    <mergeCell ref="O9:O12"/>
    <mergeCell ref="B15:B16"/>
    <mergeCell ref="M42:M45"/>
    <mergeCell ref="J46:J48"/>
    <mergeCell ref="K46:K48"/>
    <mergeCell ref="L46:L48"/>
    <mergeCell ref="M46:M48"/>
    <mergeCell ref="N42:N45"/>
    <mergeCell ref="B46:B48"/>
    <mergeCell ref="C46:C48"/>
    <mergeCell ref="D46:D48"/>
    <mergeCell ref="E46:E48"/>
    <mergeCell ref="F46:F48"/>
    <mergeCell ref="G46:G48"/>
    <mergeCell ref="H46:H48"/>
    <mergeCell ref="I46:I48"/>
    <mergeCell ref="G42:G45"/>
    <mergeCell ref="H42:H45"/>
    <mergeCell ref="I42:I45"/>
    <mergeCell ref="J42:J45"/>
    <mergeCell ref="K42:K45"/>
    <mergeCell ref="L42:L45"/>
    <mergeCell ref="F42:F45"/>
    <mergeCell ref="N46:N48"/>
    <mergeCell ref="J58:K58"/>
    <mergeCell ref="L58:M58"/>
    <mergeCell ref="A59:O59"/>
    <mergeCell ref="A54:G54"/>
    <mergeCell ref="A55:G55"/>
    <mergeCell ref="A56:G56"/>
    <mergeCell ref="A57:G57"/>
    <mergeCell ref="A58:G58"/>
    <mergeCell ref="H58:I58"/>
    <mergeCell ref="B50:B51"/>
    <mergeCell ref="C50:C51"/>
    <mergeCell ref="D50:D51"/>
    <mergeCell ref="E50:E51"/>
    <mergeCell ref="K62:K63"/>
    <mergeCell ref="L62:L63"/>
    <mergeCell ref="M62:M63"/>
    <mergeCell ref="A64:A69"/>
    <mergeCell ref="A60:O60"/>
    <mergeCell ref="A61:A63"/>
    <mergeCell ref="B61:B63"/>
    <mergeCell ref="C61:C63"/>
    <mergeCell ref="D61:D63"/>
    <mergeCell ref="E61:E63"/>
    <mergeCell ref="F61:F63"/>
    <mergeCell ref="G61:G63"/>
    <mergeCell ref="H61:I61"/>
    <mergeCell ref="J61:K61"/>
    <mergeCell ref="L61:M61"/>
    <mergeCell ref="N61:N63"/>
    <mergeCell ref="O61:O63"/>
    <mergeCell ref="H62:H63"/>
    <mergeCell ref="I62:I63"/>
    <mergeCell ref="J62:J63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174d5a-ea23-4f8d-9a5d-b523db34f3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C617E9FE67638419CDB1A9BD2885CE3" ma:contentTypeVersion="11" ma:contentTypeDescription="새 문서를 만듭니다." ma:contentTypeScope="" ma:versionID="dc1fa2bd58dd365e29c4bb0b45bf30bc">
  <xsd:schema xmlns:xsd="http://www.w3.org/2001/XMLSchema" xmlns:xs="http://www.w3.org/2001/XMLSchema" xmlns:p="http://schemas.microsoft.com/office/2006/metadata/properties" xmlns:ns3="0d174d5a-ea23-4f8d-9a5d-b523db34f300" targetNamespace="http://schemas.microsoft.com/office/2006/metadata/properties" ma:root="true" ma:fieldsID="11addf3eb90b2c03ab7eca873c3a61a1" ns3:_="">
    <xsd:import namespace="0d174d5a-ea23-4f8d-9a5d-b523db34f3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74d5a-ea23-4f8d-9a5d-b523db34f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FE8E23-F5BE-453F-B1C1-BA402DE7D88D}">
  <ds:schemaRefs>
    <ds:schemaRef ds:uri="http://purl.org/dc/dcmitype/"/>
    <ds:schemaRef ds:uri="0d174d5a-ea23-4f8d-9a5d-b523db34f300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E3AD859-7F0B-4E05-AB2A-450EC4E14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74d5a-ea23-4f8d-9a5d-b523db34f3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5AECE-B350-4B71-B12F-EBCD983D9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2026학년도 입학생</vt:lpstr>
      <vt:lpstr>2026학년도 전학년</vt:lpstr>
      <vt:lpstr>'2026학년도 입학생'!Print_Area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응찬 이</cp:lastModifiedBy>
  <cp:revision>6</cp:revision>
  <cp:lastPrinted>2025-08-10T23:14:46Z</cp:lastPrinted>
  <dcterms:created xsi:type="dcterms:W3CDTF">2002-10-10T04:04:10Z</dcterms:created>
  <dcterms:modified xsi:type="dcterms:W3CDTF">2026-07-20T05:11:38Z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0x010100BC617E9FE67638419CDB1A9BD2885CE3</vt:lpwstr>
  </property>
</Properties>
</file>