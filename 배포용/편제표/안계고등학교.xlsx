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38C7145-A8CE-4758-AFBC-C6FA89B56825}" xr6:coauthVersionLast="47" xr6:coauthVersionMax="47" xr10:uidLastSave="{00000000-0000-0000-0000-000000000000}"/>
  <bookViews>
    <workbookView xWindow="3420" yWindow="936" windowWidth="16128" windowHeight="11928" xr2:uid="{00000000-000D-0000-FFFF-FFFF00000000}"/>
  </bookViews>
  <sheets>
    <sheet name="2026 입학생" sheetId="1" r:id="rId1"/>
  </sheets>
  <definedNames>
    <definedName name="_xlnm.Print_Area" localSheetId="0">'2026 입학생'!$A$1:$N$64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4" i="1" l="1"/>
  <c r="M63" i="1"/>
  <c r="M62" i="1"/>
  <c r="M61" i="1"/>
  <c r="N36" i="1"/>
  <c r="L36" i="1"/>
  <c r="K36" i="1"/>
  <c r="J36" i="1"/>
  <c r="I36" i="1"/>
  <c r="H36" i="1"/>
  <c r="G36" i="1"/>
  <c r="M28" i="1"/>
  <c r="M24" i="1"/>
  <c r="M15" i="1"/>
  <c r="M10" i="1"/>
  <c r="M5" i="1"/>
  <c r="M36" i="1" l="1"/>
</calcChain>
</file>

<file path=xl/sharedStrings.xml><?xml version="1.0" encoding="utf-8"?>
<sst xmlns="http://schemas.openxmlformats.org/spreadsheetml/2006/main" count="177" uniqueCount="101">
  <si>
    <t>구분</t>
  </si>
  <si>
    <t>교과(군)</t>
  </si>
  <si>
    <t>과목</t>
    <phoneticPr fontId="2" type="noConversion"/>
  </si>
  <si>
    <t>과목
유형</t>
    <phoneticPr fontId="2" type="noConversion"/>
  </si>
  <si>
    <t>기본
학점</t>
    <phoneticPr fontId="2" type="noConversion"/>
  </si>
  <si>
    <t>편성
학점</t>
    <phoneticPr fontId="2" type="noConversion"/>
  </si>
  <si>
    <t>1학년</t>
  </si>
  <si>
    <t>2학년</t>
  </si>
  <si>
    <t>3학년</t>
  </si>
  <si>
    <t>이수
학점</t>
    <phoneticPr fontId="2" type="noConversion"/>
  </si>
  <si>
    <t>필수
이수
학점</t>
    <phoneticPr fontId="2" type="noConversion"/>
  </si>
  <si>
    <t>1학기</t>
  </si>
  <si>
    <t>2학기</t>
  </si>
  <si>
    <t>학교지정</t>
  </si>
  <si>
    <t>공통국어1</t>
    <phoneticPr fontId="2" type="noConversion"/>
  </si>
  <si>
    <t>공통</t>
    <phoneticPr fontId="2" type="noConversion"/>
  </si>
  <si>
    <t>공통국어2</t>
    <phoneticPr fontId="2" type="noConversion"/>
  </si>
  <si>
    <t>문학</t>
    <phoneticPr fontId="2" type="noConversion"/>
  </si>
  <si>
    <t>일반</t>
    <phoneticPr fontId="2" type="noConversion"/>
  </si>
  <si>
    <t>화법과 언어</t>
    <phoneticPr fontId="2" type="noConversion"/>
  </si>
  <si>
    <t>독서와 작문</t>
    <phoneticPr fontId="2" type="noConversion"/>
  </si>
  <si>
    <t>공통수학1</t>
    <phoneticPr fontId="2" type="noConversion"/>
  </si>
  <si>
    <t>공통수학2</t>
    <phoneticPr fontId="2" type="noConversion"/>
  </si>
  <si>
    <t>대수</t>
    <phoneticPr fontId="2" type="noConversion"/>
  </si>
  <si>
    <t>미적분Ⅰ</t>
    <phoneticPr fontId="2" type="noConversion"/>
  </si>
  <si>
    <t>확률과 통계</t>
    <phoneticPr fontId="2" type="noConversion"/>
  </si>
  <si>
    <t>공통영어1</t>
    <phoneticPr fontId="2" type="noConversion"/>
  </si>
  <si>
    <t>공통영어2</t>
    <phoneticPr fontId="2" type="noConversion"/>
  </si>
  <si>
    <t>영어Ⅰ</t>
    <phoneticPr fontId="2" type="noConversion"/>
  </si>
  <si>
    <t>영어 독해와 작문</t>
    <phoneticPr fontId="2" type="noConversion"/>
  </si>
  <si>
    <t>영어Ⅱ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</si>
  <si>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</si>
  <si>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</si>
  <si>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</si>
  <si>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통합사회2</t>
    <phoneticPr fontId="2" type="noConversion"/>
  </si>
  <si>
    <t>통합과학1</t>
    <phoneticPr fontId="2" type="noConversion"/>
  </si>
  <si>
    <t>통합과학2</t>
    <phoneticPr fontId="2" type="noConversion"/>
  </si>
  <si>
    <t>과학탐구실험1</t>
    <phoneticPr fontId="2" type="noConversion"/>
  </si>
  <si>
    <t>과학탐구실험2</t>
    <phoneticPr fontId="2" type="noConversion"/>
  </si>
  <si>
    <t>체육1</t>
    <phoneticPr fontId="2" type="noConversion"/>
  </si>
  <si>
    <t>체육2</t>
    <phoneticPr fontId="2" type="noConversion"/>
  </si>
  <si>
    <t>스포츠 문화</t>
    <phoneticPr fontId="2" type="noConversion"/>
  </si>
  <si>
    <t>진로</t>
    <phoneticPr fontId="2" type="noConversion"/>
  </si>
  <si>
    <t>스포츠 과학</t>
    <phoneticPr fontId="2" type="noConversion"/>
  </si>
  <si>
    <t>스포츠 생활1</t>
    <phoneticPr fontId="2" type="noConversion"/>
  </si>
  <si>
    <t>융합</t>
    <phoneticPr fontId="2" type="noConversion"/>
  </si>
  <si>
    <t>음악</t>
    <phoneticPr fontId="2" type="noConversion"/>
  </si>
  <si>
    <t>미술</t>
    <phoneticPr fontId="2" type="noConversion"/>
  </si>
  <si>
    <t>학교 지정 교과 이수 학점 소계</t>
    <phoneticPr fontId="2" type="noConversion"/>
  </si>
  <si>
    <t>학생선택</t>
  </si>
  <si>
    <t>진로/융합</t>
    <phoneticPr fontId="2" type="noConversion"/>
  </si>
  <si>
    <t>택2
6</t>
    <phoneticPr fontId="2" type="noConversion"/>
  </si>
  <si>
    <t>과학</t>
    <phoneticPr fontId="2" type="noConversion"/>
  </si>
  <si>
    <t>일반/진로</t>
    <phoneticPr fontId="2" type="noConversion"/>
  </si>
  <si>
    <t>택1
3</t>
    <phoneticPr fontId="2" type="noConversion"/>
  </si>
  <si>
    <t>수학</t>
    <phoneticPr fontId="2" type="noConversion"/>
  </si>
  <si>
    <t>경제 수학 / 미적분Ⅱ</t>
    <phoneticPr fontId="2" type="noConversion"/>
  </si>
  <si>
    <t>일반/진로/융합</t>
    <phoneticPr fontId="2" type="noConversion"/>
  </si>
  <si>
    <t>국어</t>
    <phoneticPr fontId="2" type="noConversion"/>
  </si>
  <si>
    <t>주제 탐구 독서 / 문학과 영상</t>
    <phoneticPr fontId="2" type="noConversion"/>
  </si>
  <si>
    <t>택1
5</t>
    <phoneticPr fontId="2" type="noConversion"/>
  </si>
  <si>
    <t>수학과제탐구 / 수학과 문화</t>
    <phoneticPr fontId="2" type="noConversion"/>
  </si>
  <si>
    <t>영어</t>
    <phoneticPr fontId="2" type="noConversion"/>
  </si>
  <si>
    <t>직무 영어 / 심화 영어 독해와 작문</t>
    <phoneticPr fontId="2" type="noConversion"/>
  </si>
  <si>
    <t>예술</t>
    <phoneticPr fontId="2" type="noConversion"/>
  </si>
  <si>
    <t>음악 연주와 창작 / 미술 창작</t>
    <phoneticPr fontId="2" type="noConversion"/>
  </si>
  <si>
    <t>음악 감상과 비평 / 미술 감상과 비평</t>
    <phoneticPr fontId="2" type="noConversion"/>
  </si>
  <si>
    <t>제2외국어/한문</t>
    <phoneticPr fontId="2" type="noConversion"/>
  </si>
  <si>
    <t>일본어 / 중국어 / 한문</t>
    <phoneticPr fontId="2" type="noConversion"/>
  </si>
  <si>
    <t>일본어 회화 / 중국어 회화 / 한문 고전 읽기</t>
    <phoneticPr fontId="2" type="noConversion"/>
  </si>
  <si>
    <t>정보 / 교육의 이해</t>
    <phoneticPr fontId="2" type="noConversion"/>
  </si>
  <si>
    <t>4/3</t>
    <phoneticPr fontId="2" type="noConversion"/>
  </si>
  <si>
    <t>택1
4</t>
    <phoneticPr fontId="2" type="noConversion"/>
  </si>
  <si>
    <t>교과 이수 학점 소계</t>
    <phoneticPr fontId="2" type="noConversion"/>
  </si>
  <si>
    <t>창의적 체험활동</t>
    <phoneticPr fontId="2" type="noConversion"/>
  </si>
  <si>
    <t>학기별 총 이수 학점 계</t>
    <phoneticPr fontId="2" type="noConversion"/>
  </si>
  <si>
    <t>학기당 이수 과목 수</t>
    <phoneticPr fontId="2" type="noConversion"/>
  </si>
  <si>
    <t>정보/교양</t>
    <phoneticPr fontId="2" type="noConversion"/>
  </si>
  <si>
    <t>사회/과학</t>
    <phoneticPr fontId="2" type="noConversion"/>
  </si>
  <si>
    <t>학교유형: 일반고</t>
    <phoneticPr fontId="2" type="noConversion"/>
  </si>
  <si>
    <t>안계고등학교</t>
    <phoneticPr fontId="2" type="noConversion"/>
  </si>
  <si>
    <r>
      <t xml:space="preserve">사회
</t>
    </r>
    <r>
      <rPr>
        <sz val="9"/>
        <color rgb="FF000000"/>
        <rFont val="맑은 고딕"/>
        <family val="3"/>
        <charset val="129"/>
      </rPr>
      <t>(역사/도덕 포함)</t>
    </r>
    <phoneticPr fontId="2" type="noConversion"/>
  </si>
  <si>
    <t>체육</t>
    <phoneticPr fontId="2" type="noConversion"/>
  </si>
  <si>
    <t>운동과 건강</t>
    <phoneticPr fontId="2" type="noConversion"/>
  </si>
  <si>
    <r>
      <t xml:space="preserve">2026학년도 입학생 3개년 교육과정 편성표 </t>
    </r>
    <r>
      <rPr>
        <b/>
        <sz val="18"/>
        <color rgb="FFFF0000"/>
        <rFont val="맑은 고딕"/>
        <family val="3"/>
        <charset val="129"/>
      </rPr>
      <t>변경</t>
    </r>
    <phoneticPr fontId="2" type="noConversion"/>
  </si>
  <si>
    <t>일반/융합</t>
    <phoneticPr fontId="2" type="noConversion"/>
  </si>
  <si>
    <t>사회와 문화 / 세계시민과 지리 / 윤리와 사상</t>
    <phoneticPr fontId="2" type="noConversion"/>
  </si>
  <si>
    <t>현대사회와 윤리 / 법과 사회 / 역사로 탐구하는 현대 세계</t>
    <phoneticPr fontId="2" type="noConversion"/>
  </si>
  <si>
    <t>과학과제 연구 / 전자기와 양자</t>
    <phoneticPr fontId="2" type="noConversion"/>
  </si>
  <si>
    <r>
      <t xml:space="preserve">생명과학 / 지구과학 / </t>
    </r>
    <r>
      <rPr>
        <sz val="9"/>
        <color rgb="FFFF0000"/>
        <rFont val="맑은 고딕"/>
        <family val="3"/>
        <charset val="129"/>
      </rPr>
      <t>화학</t>
    </r>
    <phoneticPr fontId="2" type="noConversion"/>
  </si>
  <si>
    <r>
      <rPr>
        <sz val="9"/>
        <color rgb="FFFF0000"/>
        <rFont val="맑은 고딕"/>
        <family val="3"/>
        <charset val="129"/>
      </rPr>
      <t>기후변화와 환경생태</t>
    </r>
    <r>
      <rPr>
        <sz val="9"/>
        <color rgb="FF000000"/>
        <rFont val="맑은 고딕"/>
        <family val="3"/>
        <charset val="129"/>
      </rPr>
      <t xml:space="preserve">  / </t>
    </r>
    <r>
      <rPr>
        <sz val="9"/>
        <color rgb="FFFF0000"/>
        <rFont val="맑은 고딕"/>
        <family val="3"/>
        <charset val="129"/>
      </rPr>
      <t>화학실험</t>
    </r>
    <phoneticPr fontId="2" type="noConversion"/>
  </si>
  <si>
    <r>
      <t xml:space="preserve">물리학 / </t>
    </r>
    <r>
      <rPr>
        <sz val="9"/>
        <color rgb="FFFF0000"/>
        <rFont val="맑은 고딕"/>
        <family val="3"/>
        <charset val="129"/>
      </rPr>
      <t>융합과학 탐구</t>
    </r>
    <phoneticPr fontId="2" type="noConversion"/>
  </si>
  <si>
    <r>
      <rPr>
        <sz val="9"/>
        <color rgb="FFFF0000"/>
        <rFont val="맑은 고딕"/>
        <family val="3"/>
        <charset val="129"/>
      </rPr>
      <t>세계사</t>
    </r>
    <r>
      <rPr>
        <sz val="9"/>
        <color rgb="FF000000"/>
        <rFont val="맑은 고딕"/>
        <family val="3"/>
        <charset val="129"/>
      </rPr>
      <t xml:space="preserve"> / 한국지리탐구 /</t>
    </r>
    <r>
      <rPr>
        <sz val="9"/>
        <color rgb="FF0070C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</t>
    </r>
    <r>
      <rPr>
        <sz val="9"/>
        <color rgb="FFFF0000"/>
        <rFont val="맑은 고딕"/>
        <family val="3"/>
        <charset val="129"/>
      </rPr>
      <t>기후변화와 지속가능한 세계</t>
    </r>
    <phoneticPr fontId="2" type="noConversion"/>
  </si>
  <si>
    <r>
      <rPr>
        <sz val="9"/>
        <color rgb="FFFF0000"/>
        <rFont val="맑은 고딕"/>
        <family val="3"/>
        <charset val="129"/>
      </rPr>
      <t>동아시아사 역사 기행</t>
    </r>
    <r>
      <rPr>
        <sz val="9"/>
        <color rgb="FF000000"/>
        <rFont val="맑은 고딕"/>
        <family val="3"/>
        <charset val="129"/>
      </rPr>
      <t xml:space="preserve"> / 경제</t>
    </r>
    <phoneticPr fontId="2" type="noConversion"/>
  </si>
  <si>
    <r>
      <rPr>
        <sz val="9"/>
        <color rgb="FFFF0000"/>
        <rFont val="맑은 고딕"/>
        <family val="3"/>
        <charset val="129"/>
      </rPr>
      <t>물질과 에너지</t>
    </r>
    <r>
      <rPr>
        <sz val="9"/>
        <color rgb="FF000000"/>
        <rFont val="맑은 고딕"/>
        <family val="3"/>
        <charset val="129"/>
      </rPr>
      <t xml:space="preserve"> / </t>
    </r>
    <r>
      <rPr>
        <sz val="9"/>
        <color rgb="FFFF0000"/>
        <rFont val="맑은 고딕"/>
        <family val="3"/>
        <charset val="129"/>
      </rPr>
      <t>세포와 물질대사</t>
    </r>
    <r>
      <rPr>
        <sz val="9"/>
        <color rgb="FF000000"/>
        <rFont val="맑은 고딕"/>
        <family val="3"/>
        <charset val="129"/>
      </rPr>
      <t xml:space="preserve"> / 지구시스템과학 / 역학과 에너지</t>
    </r>
    <phoneticPr fontId="2" type="noConversion"/>
  </si>
  <si>
    <r>
      <rPr>
        <sz val="9"/>
        <color rgb="FFFF0000"/>
        <rFont val="맑은 고딕"/>
        <family val="3"/>
        <charset val="129"/>
      </rPr>
      <t>생물의 유전</t>
    </r>
    <r>
      <rPr>
        <sz val="9"/>
        <color rgb="FF000000"/>
        <rFont val="맑은 고딕"/>
        <family val="3"/>
        <charset val="129"/>
      </rPr>
      <t xml:space="preserve"> /  화학 반응의 세계 </t>
    </r>
    <r>
      <rPr>
        <sz val="9"/>
        <color theme="1"/>
        <rFont val="맑은 고딕"/>
        <family val="3"/>
        <charset val="129"/>
      </rPr>
      <t>/</t>
    </r>
    <r>
      <rPr>
        <sz val="9"/>
        <color rgb="FFFF0000"/>
        <rFont val="맑은 고딕"/>
        <family val="3"/>
        <charset val="129"/>
      </rPr>
      <t xml:space="preserve"> 생명과학 실험</t>
    </r>
    <phoneticPr fontId="2" type="noConversion"/>
  </si>
  <si>
    <r>
      <rPr>
        <sz val="9"/>
        <color rgb="FFFF0000"/>
        <rFont val="맑은 고딕"/>
        <family val="3"/>
        <charset val="129"/>
      </rPr>
      <t>국제 관계의 이해</t>
    </r>
    <r>
      <rPr>
        <sz val="9"/>
        <color rgb="FF000000"/>
        <rFont val="맑은 고딕"/>
        <family val="3"/>
        <charset val="129"/>
      </rPr>
      <t xml:space="preserve"> / 사회문제 탐구 </t>
    </r>
    <phoneticPr fontId="2" type="noConversion"/>
  </si>
  <si>
    <r>
      <rPr>
        <sz val="9"/>
        <color rgb="FFFF0000"/>
        <rFont val="맑은 고딕"/>
        <family val="3"/>
        <charset val="129"/>
      </rPr>
      <t>금융과 경제생활</t>
    </r>
    <r>
      <rPr>
        <sz val="9"/>
        <color rgb="FF000000"/>
        <rFont val="맑은 고딕"/>
        <family val="3"/>
        <charset val="129"/>
      </rPr>
      <t xml:space="preserve"> / 여행지리</t>
    </r>
    <phoneticPr fontId="2" type="noConversion"/>
  </si>
  <si>
    <r>
      <rPr>
        <sz val="9"/>
        <color rgb="FFFF0000"/>
        <rFont val="맑은 고딕"/>
        <family val="3"/>
        <charset val="129"/>
      </rPr>
      <t xml:space="preserve"> 행성우주과학</t>
    </r>
    <r>
      <rPr>
        <sz val="9"/>
        <color rgb="FFFF00FF"/>
        <rFont val="맑은 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</rPr>
      <t>/</t>
    </r>
    <r>
      <rPr>
        <sz val="9"/>
        <color rgb="FFFF0000"/>
        <rFont val="맑은 고딕"/>
        <family val="3"/>
        <charset val="129"/>
      </rPr>
      <t xml:space="preserve"> 과학의 역사와 문화 </t>
    </r>
    <phoneticPr fontId="2" type="noConversion"/>
  </si>
  <si>
    <r>
      <rPr>
        <sz val="9"/>
        <color rgb="FFFF0000"/>
        <rFont val="맑은 고딕"/>
        <family val="3"/>
        <charset val="129"/>
      </rPr>
      <t>인간과 심리</t>
    </r>
    <r>
      <rPr>
        <sz val="9"/>
        <color rgb="FF000000"/>
        <rFont val="맑은 고딕"/>
        <family val="3"/>
        <charset val="129"/>
      </rPr>
      <t xml:space="preserve"> / 보건</t>
    </r>
    <phoneticPr fontId="2" type="noConversion"/>
  </si>
  <si>
    <r>
      <t xml:space="preserve">생태와 환경 / </t>
    </r>
    <r>
      <rPr>
        <sz val="9"/>
        <color rgb="FFFF0000"/>
        <rFont val="맑은 고딕"/>
        <family val="3"/>
        <charset val="129"/>
      </rPr>
      <t>진로와 직업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</si>
</sst>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19" x14ac:knownFonts="1"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2"/>
      <color rgb="FF000000"/>
      <name val="돋움"/>
      <family val="3"/>
      <charset val="129"/>
    </font>
    <font>
      <sz val="12"/>
      <color rgb="FF00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</font>
    <font>
      <sz val="9"/>
      <color rgb="FFFF00FF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8" fillId="0" borderId="0" xfId="0" applyFont="1"/>
    <xf numFmtId="49" fontId="7" fillId="0" borderId="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shrinkToFit="1"/>
    </xf>
    <xf numFmtId="0" fontId="7" fillId="3" borderId="7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" xfId="0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vertical="center"/>
    </xf>
    <xf numFmtId="0" fontId="0" fillId="3" borderId="2" xfId="0" applyFill="1" applyBorder="1"/>
    <xf numFmtId="0" fontId="7" fillId="3" borderId="6" xfId="0" applyFont="1" applyFill="1" applyBorder="1" applyAlignment="1">
      <alignment vertical="center"/>
    </xf>
    <xf numFmtId="0" fontId="0" fillId="3" borderId="6" xfId="0" applyFill="1" applyBorder="1"/>
    <xf numFmtId="0" fontId="7" fillId="3" borderId="1" xfId="0" applyFont="1" applyFill="1" applyBorder="1" applyAlignment="1">
      <alignment horizontal="center" vertical="center" shrinkToFi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11" fillId="0" borderId="0" xfId="0" applyFont="1"/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3" fillId="0" borderId="12" xfId="0" applyFont="1" applyBorder="1" applyAlignment="1">
      <alignment horizontal="left"/>
    </xf>
    <xf numFmtId="0" fontId="0" fillId="0" borderId="0" xfId="0" applyBorder="1"/>
    <xf numFmtId="0" fontId="6" fillId="0" borderId="26" xfId="0" applyFont="1" applyBorder="1" applyAlignment="1">
      <alignment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20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/>
    <xf numFmtId="0" fontId="7" fillId="3" borderId="7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4" fillId="2" borderId="17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 shrinkToFit="1"/>
    </xf>
    <xf numFmtId="0" fontId="4" fillId="2" borderId="20" xfId="0" applyFont="1" applyFill="1" applyBorder="1" applyAlignment="1">
      <alignment horizontal="center" vertical="center" shrinkToFit="1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FF00FF"/>
      <color rgb="FFFC5D04"/>
      <color rgb="FFFC7404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4"/>
  <sheetViews>
    <sheetView tabSelected="1" zoomScaleNormal="100" zoomScaleSheetLayoutView="100" workbookViewId="0">
      <selection sqref="A1:N1"/>
    </sheetView>
  </sheetViews>
  <sheetFormatPr defaultColWidth="8.8984375" defaultRowHeight="15" x14ac:dyDescent="0.3"/>
  <cols>
    <col min="1" max="1" width="4.796875" customWidth="1"/>
    <col min="2" max="2" width="10.69921875" customWidth="1"/>
    <col min="3" max="3" width="48.69921875" customWidth="1"/>
    <col min="4" max="4" width="5.796875" customWidth="1"/>
    <col min="5" max="6" width="4.796875" customWidth="1"/>
    <col min="7" max="12" width="5.59765625" customWidth="1"/>
    <col min="13" max="13" width="5.796875" customWidth="1"/>
    <col min="14" max="14" width="5.59765625" customWidth="1"/>
    <col min="15" max="17" width="8.8984375" style="5"/>
  </cols>
  <sheetData>
    <row r="1" spans="1:17" ht="41.1" customHeight="1" thickBot="1" x14ac:dyDescent="0.35">
      <c r="A1" s="116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8"/>
    </row>
    <row r="2" spans="1:17" s="36" customFormat="1" ht="17.25" customHeight="1" thickBot="1" x14ac:dyDescent="0.5">
      <c r="A2" s="130" t="s">
        <v>79</v>
      </c>
      <c r="B2" s="131"/>
      <c r="C2" s="38"/>
      <c r="D2" s="38"/>
      <c r="E2" s="38"/>
      <c r="F2" s="38"/>
      <c r="G2" s="38"/>
      <c r="H2" s="38"/>
      <c r="I2" s="119" t="s">
        <v>80</v>
      </c>
      <c r="J2" s="119"/>
      <c r="K2" s="119"/>
      <c r="L2" s="119"/>
      <c r="M2" s="119"/>
      <c r="N2" s="120"/>
      <c r="O2" s="37"/>
      <c r="P2" s="37"/>
      <c r="Q2" s="37"/>
    </row>
    <row r="3" spans="1:17" ht="18.899999999999999" customHeight="1" x14ac:dyDescent="0.3">
      <c r="A3" s="121" t="s">
        <v>0</v>
      </c>
      <c r="B3" s="123" t="s">
        <v>1</v>
      </c>
      <c r="C3" s="125" t="s">
        <v>2</v>
      </c>
      <c r="D3" s="125" t="s">
        <v>3</v>
      </c>
      <c r="E3" s="125" t="s">
        <v>4</v>
      </c>
      <c r="F3" s="125" t="s">
        <v>5</v>
      </c>
      <c r="G3" s="123" t="s">
        <v>6</v>
      </c>
      <c r="H3" s="123"/>
      <c r="I3" s="123" t="s">
        <v>7</v>
      </c>
      <c r="J3" s="123"/>
      <c r="K3" s="123" t="s">
        <v>8</v>
      </c>
      <c r="L3" s="123"/>
      <c r="M3" s="127" t="s">
        <v>9</v>
      </c>
      <c r="N3" s="128" t="s">
        <v>10</v>
      </c>
    </row>
    <row r="4" spans="1:17" ht="18.899999999999999" customHeight="1" thickBot="1" x14ac:dyDescent="0.35">
      <c r="A4" s="122"/>
      <c r="B4" s="124"/>
      <c r="C4" s="126"/>
      <c r="D4" s="126"/>
      <c r="E4" s="126"/>
      <c r="F4" s="126"/>
      <c r="G4" s="1" t="s">
        <v>11</v>
      </c>
      <c r="H4" s="1" t="s">
        <v>12</v>
      </c>
      <c r="I4" s="1" t="s">
        <v>11</v>
      </c>
      <c r="J4" s="1" t="s">
        <v>12</v>
      </c>
      <c r="K4" s="1" t="s">
        <v>11</v>
      </c>
      <c r="L4" s="1" t="s">
        <v>12</v>
      </c>
      <c r="M4" s="127"/>
      <c r="N4" s="129"/>
    </row>
    <row r="5" spans="1:17" ht="18" customHeight="1" x14ac:dyDescent="0.3">
      <c r="A5" s="108" t="s">
        <v>13</v>
      </c>
      <c r="B5" s="110" t="s">
        <v>58</v>
      </c>
      <c r="C5" s="28" t="s">
        <v>14</v>
      </c>
      <c r="D5" s="28" t="s">
        <v>15</v>
      </c>
      <c r="E5" s="28">
        <v>4</v>
      </c>
      <c r="F5" s="28">
        <v>4</v>
      </c>
      <c r="G5" s="28">
        <v>4</v>
      </c>
      <c r="H5" s="28"/>
      <c r="I5" s="2"/>
      <c r="J5" s="28"/>
      <c r="K5" s="28"/>
      <c r="L5" s="28"/>
      <c r="M5" s="112">
        <f>SUM(G5:L9)</f>
        <v>20</v>
      </c>
      <c r="N5" s="113">
        <v>8</v>
      </c>
    </row>
    <row r="6" spans="1:17" ht="18" customHeight="1" x14ac:dyDescent="0.3">
      <c r="A6" s="109"/>
      <c r="B6" s="111"/>
      <c r="C6" s="29" t="s">
        <v>16</v>
      </c>
      <c r="D6" s="29" t="s">
        <v>15</v>
      </c>
      <c r="E6" s="29">
        <v>4</v>
      </c>
      <c r="F6" s="29">
        <v>4</v>
      </c>
      <c r="G6" s="29"/>
      <c r="H6" s="29">
        <v>4</v>
      </c>
      <c r="I6" s="29"/>
      <c r="J6" s="29"/>
      <c r="K6" s="29"/>
      <c r="L6" s="29"/>
      <c r="M6" s="105"/>
      <c r="N6" s="106"/>
    </row>
    <row r="7" spans="1:17" ht="18" customHeight="1" x14ac:dyDescent="0.3">
      <c r="A7" s="109"/>
      <c r="B7" s="111"/>
      <c r="C7" s="29" t="s">
        <v>17</v>
      </c>
      <c r="D7" s="29" t="s">
        <v>18</v>
      </c>
      <c r="E7" s="29">
        <v>4</v>
      </c>
      <c r="F7" s="29">
        <v>4</v>
      </c>
      <c r="G7" s="29"/>
      <c r="H7" s="29"/>
      <c r="I7" s="29">
        <v>4</v>
      </c>
      <c r="J7" s="29"/>
      <c r="K7" s="29"/>
      <c r="L7" s="29"/>
      <c r="M7" s="105"/>
      <c r="N7" s="106"/>
    </row>
    <row r="8" spans="1:17" ht="18" customHeight="1" x14ac:dyDescent="0.3">
      <c r="A8" s="109"/>
      <c r="B8" s="111"/>
      <c r="C8" s="29" t="s">
        <v>19</v>
      </c>
      <c r="D8" s="29" t="s">
        <v>18</v>
      </c>
      <c r="E8" s="29">
        <v>4</v>
      </c>
      <c r="F8" s="29">
        <v>4</v>
      </c>
      <c r="G8" s="29"/>
      <c r="H8" s="29"/>
      <c r="I8" s="29"/>
      <c r="J8" s="29">
        <v>4</v>
      </c>
      <c r="K8" s="29"/>
      <c r="L8" s="29"/>
      <c r="M8" s="105"/>
      <c r="N8" s="106"/>
    </row>
    <row r="9" spans="1:17" ht="18" customHeight="1" x14ac:dyDescent="0.3">
      <c r="A9" s="109"/>
      <c r="B9" s="111"/>
      <c r="C9" s="29" t="s">
        <v>20</v>
      </c>
      <c r="D9" s="29" t="s">
        <v>18</v>
      </c>
      <c r="E9" s="29">
        <v>4</v>
      </c>
      <c r="F9" s="29">
        <v>4</v>
      </c>
      <c r="G9" s="29"/>
      <c r="H9" s="29"/>
      <c r="I9" s="29"/>
      <c r="J9" s="29"/>
      <c r="K9" s="29">
        <v>4</v>
      </c>
      <c r="L9" s="29"/>
      <c r="M9" s="105"/>
      <c r="N9" s="106"/>
    </row>
    <row r="10" spans="1:17" ht="18" customHeight="1" x14ac:dyDescent="0.3">
      <c r="A10" s="109"/>
      <c r="B10" s="111" t="s">
        <v>55</v>
      </c>
      <c r="C10" s="29" t="s">
        <v>21</v>
      </c>
      <c r="D10" s="29" t="s">
        <v>15</v>
      </c>
      <c r="E10" s="29">
        <v>4</v>
      </c>
      <c r="F10" s="29">
        <v>4</v>
      </c>
      <c r="G10" s="29">
        <v>4</v>
      </c>
      <c r="H10" s="29"/>
      <c r="I10" s="29"/>
      <c r="J10" s="29"/>
      <c r="K10" s="29"/>
      <c r="L10" s="29"/>
      <c r="M10" s="104">
        <f>SUM(G10:L14)</f>
        <v>20</v>
      </c>
      <c r="N10" s="106">
        <v>8</v>
      </c>
    </row>
    <row r="11" spans="1:17" ht="18" customHeight="1" x14ac:dyDescent="0.3">
      <c r="A11" s="109"/>
      <c r="B11" s="111"/>
      <c r="C11" s="29" t="s">
        <v>22</v>
      </c>
      <c r="D11" s="29" t="s">
        <v>15</v>
      </c>
      <c r="E11" s="29">
        <v>4</v>
      </c>
      <c r="F11" s="29">
        <v>4</v>
      </c>
      <c r="G11" s="29"/>
      <c r="H11" s="29">
        <v>4</v>
      </c>
      <c r="I11" s="3"/>
      <c r="J11" s="29"/>
      <c r="K11" s="29"/>
      <c r="L11" s="29"/>
      <c r="M11" s="104"/>
      <c r="N11" s="106"/>
    </row>
    <row r="12" spans="1:17" ht="18" customHeight="1" x14ac:dyDescent="0.3">
      <c r="A12" s="109"/>
      <c r="B12" s="111"/>
      <c r="C12" s="29" t="s">
        <v>23</v>
      </c>
      <c r="D12" s="29" t="s">
        <v>18</v>
      </c>
      <c r="E12" s="29">
        <v>4</v>
      </c>
      <c r="F12" s="29">
        <v>4</v>
      </c>
      <c r="G12" s="29"/>
      <c r="H12" s="29"/>
      <c r="I12" s="3">
        <v>4</v>
      </c>
      <c r="J12" s="29"/>
      <c r="K12" s="29"/>
      <c r="L12" s="29"/>
      <c r="M12" s="104"/>
      <c r="N12" s="106"/>
    </row>
    <row r="13" spans="1:17" ht="18" customHeight="1" x14ac:dyDescent="0.3">
      <c r="A13" s="109"/>
      <c r="B13" s="111"/>
      <c r="C13" s="29" t="s">
        <v>24</v>
      </c>
      <c r="D13" s="29" t="s">
        <v>18</v>
      </c>
      <c r="E13" s="29">
        <v>4</v>
      </c>
      <c r="F13" s="29">
        <v>4</v>
      </c>
      <c r="G13" s="29"/>
      <c r="H13" s="29"/>
      <c r="I13" s="29"/>
      <c r="J13" s="29">
        <v>4</v>
      </c>
      <c r="K13" s="29"/>
      <c r="L13" s="29"/>
      <c r="M13" s="104"/>
      <c r="N13" s="106"/>
    </row>
    <row r="14" spans="1:17" ht="18" customHeight="1" x14ac:dyDescent="0.3">
      <c r="A14" s="109"/>
      <c r="B14" s="111"/>
      <c r="C14" s="29" t="s">
        <v>25</v>
      </c>
      <c r="D14" s="29" t="s">
        <v>18</v>
      </c>
      <c r="E14" s="29">
        <v>4</v>
      </c>
      <c r="F14" s="29">
        <v>4</v>
      </c>
      <c r="G14" s="29"/>
      <c r="H14" s="29"/>
      <c r="I14" s="29"/>
      <c r="J14" s="29"/>
      <c r="K14" s="29">
        <v>4</v>
      </c>
      <c r="L14" s="29"/>
      <c r="M14" s="105"/>
      <c r="N14" s="106"/>
    </row>
    <row r="15" spans="1:17" ht="18" customHeight="1" x14ac:dyDescent="0.3">
      <c r="A15" s="109"/>
      <c r="B15" s="107" t="s">
        <v>62</v>
      </c>
      <c r="C15" s="29" t="s">
        <v>26</v>
      </c>
      <c r="D15" s="29" t="s">
        <v>15</v>
      </c>
      <c r="E15" s="29">
        <v>4</v>
      </c>
      <c r="F15" s="29">
        <v>4</v>
      </c>
      <c r="G15" s="29">
        <v>4</v>
      </c>
      <c r="H15" s="29"/>
      <c r="I15" s="29"/>
      <c r="J15" s="29"/>
      <c r="K15" s="29"/>
      <c r="L15" s="29"/>
      <c r="M15" s="105">
        <f>SUM(G15:L19)</f>
        <v>19</v>
      </c>
      <c r="N15" s="106">
        <v>8</v>
      </c>
    </row>
    <row r="16" spans="1:17" ht="18" customHeight="1" x14ac:dyDescent="0.3">
      <c r="A16" s="109"/>
      <c r="B16" s="107"/>
      <c r="C16" s="29" t="s">
        <v>27</v>
      </c>
      <c r="D16" s="29" t="s">
        <v>15</v>
      </c>
      <c r="E16" s="29">
        <v>4</v>
      </c>
      <c r="F16" s="29">
        <v>4</v>
      </c>
      <c r="G16" s="29"/>
      <c r="H16" s="29">
        <v>4</v>
      </c>
      <c r="I16" s="29"/>
      <c r="J16" s="29"/>
      <c r="K16" s="29"/>
      <c r="L16" s="29"/>
      <c r="M16" s="105"/>
      <c r="N16" s="106"/>
    </row>
    <row r="17" spans="1:14" ht="18" customHeight="1" x14ac:dyDescent="0.3">
      <c r="A17" s="109"/>
      <c r="B17" s="107"/>
      <c r="C17" s="29" t="s">
        <v>28</v>
      </c>
      <c r="D17" s="29" t="s">
        <v>18</v>
      </c>
      <c r="E17" s="29">
        <v>4</v>
      </c>
      <c r="F17" s="29">
        <v>4</v>
      </c>
      <c r="G17" s="29"/>
      <c r="H17" s="29"/>
      <c r="I17" s="29">
        <v>4</v>
      </c>
      <c r="J17" s="29"/>
      <c r="K17" s="29"/>
      <c r="L17" s="29"/>
      <c r="M17" s="105"/>
      <c r="N17" s="106"/>
    </row>
    <row r="18" spans="1:14" ht="18" customHeight="1" x14ac:dyDescent="0.3">
      <c r="A18" s="109"/>
      <c r="B18" s="107"/>
      <c r="C18" s="29" t="s">
        <v>29</v>
      </c>
      <c r="D18" s="29" t="s">
        <v>18</v>
      </c>
      <c r="E18" s="29">
        <v>4</v>
      </c>
      <c r="F18" s="29">
        <v>3</v>
      </c>
      <c r="G18" s="29"/>
      <c r="H18" s="29"/>
      <c r="I18" s="30"/>
      <c r="J18" s="29">
        <v>3</v>
      </c>
      <c r="K18" s="29"/>
      <c r="L18" s="29"/>
      <c r="M18" s="105"/>
      <c r="N18" s="106"/>
    </row>
    <row r="19" spans="1:14" ht="18" customHeight="1" x14ac:dyDescent="0.3">
      <c r="A19" s="109"/>
      <c r="B19" s="107"/>
      <c r="C19" s="29" t="s">
        <v>30</v>
      </c>
      <c r="D19" s="29" t="s">
        <v>18</v>
      </c>
      <c r="E19" s="29">
        <v>4</v>
      </c>
      <c r="F19" s="29">
        <v>4</v>
      </c>
      <c r="G19" s="29"/>
      <c r="H19" s="29"/>
      <c r="I19" s="30"/>
      <c r="J19" s="29"/>
      <c r="K19" s="29">
        <v>4</v>
      </c>
      <c r="L19" s="29"/>
      <c r="M19" s="105"/>
      <c r="N19" s="106"/>
    </row>
    <row r="20" spans="1:14" ht="18" customHeight="1" x14ac:dyDescent="0.3">
      <c r="A20" s="109"/>
      <c r="B20" s="65" t="s">
        <v>81</v>
      </c>
      <c r="C20" s="29" t="s">
        <v>31</v>
      </c>
      <c r="D20" s="29" t="s">
        <v>15</v>
      </c>
      <c r="E20" s="29">
        <v>3</v>
      </c>
      <c r="F20" s="29">
        <v>3</v>
      </c>
      <c r="G20" s="29">
        <v>3</v>
      </c>
      <c r="H20" s="29"/>
      <c r="I20" s="29"/>
      <c r="J20" s="4"/>
      <c r="K20" s="29"/>
      <c r="L20" s="29"/>
      <c r="M20" s="77">
        <v>6</v>
      </c>
      <c r="N20" s="69">
        <v>6</v>
      </c>
    </row>
    <row r="21" spans="1:14" ht="18" customHeight="1" x14ac:dyDescent="0.3">
      <c r="A21" s="109"/>
      <c r="B21" s="114"/>
      <c r="C21" s="29" t="s">
        <v>32</v>
      </c>
      <c r="D21" s="29" t="s">
        <v>15</v>
      </c>
      <c r="E21" s="29">
        <v>3</v>
      </c>
      <c r="F21" s="29">
        <v>3</v>
      </c>
      <c r="G21" s="29"/>
      <c r="H21" s="29">
        <v>3</v>
      </c>
      <c r="I21" s="29"/>
      <c r="J21" s="4"/>
      <c r="K21" s="29"/>
      <c r="L21" s="29"/>
      <c r="M21" s="78"/>
      <c r="N21" s="71"/>
    </row>
    <row r="22" spans="1:14" ht="18" customHeight="1" x14ac:dyDescent="0.3">
      <c r="A22" s="109"/>
      <c r="B22" s="114"/>
      <c r="C22" s="29" t="s">
        <v>33</v>
      </c>
      <c r="D22" s="29" t="s">
        <v>15</v>
      </c>
      <c r="E22" s="29">
        <v>4</v>
      </c>
      <c r="F22" s="29">
        <v>4</v>
      </c>
      <c r="G22" s="29">
        <v>4</v>
      </c>
      <c r="H22" s="29"/>
      <c r="I22" s="29"/>
      <c r="J22" s="29"/>
      <c r="K22" s="4"/>
      <c r="L22" s="4"/>
      <c r="M22" s="77">
        <v>8</v>
      </c>
      <c r="N22" s="106">
        <v>8</v>
      </c>
    </row>
    <row r="23" spans="1:14" ht="18" customHeight="1" x14ac:dyDescent="0.3">
      <c r="A23" s="109"/>
      <c r="B23" s="115"/>
      <c r="C23" s="29" t="s">
        <v>34</v>
      </c>
      <c r="D23" s="29" t="s">
        <v>15</v>
      </c>
      <c r="E23" s="29">
        <v>4</v>
      </c>
      <c r="F23" s="29">
        <v>4</v>
      </c>
      <c r="G23" s="29"/>
      <c r="H23" s="29">
        <v>4</v>
      </c>
      <c r="I23" s="29"/>
      <c r="J23" s="29"/>
      <c r="K23" s="4"/>
      <c r="L23" s="4"/>
      <c r="M23" s="78"/>
      <c r="N23" s="106"/>
    </row>
    <row r="24" spans="1:14" ht="18" customHeight="1" x14ac:dyDescent="0.3">
      <c r="A24" s="109"/>
      <c r="B24" s="111" t="s">
        <v>52</v>
      </c>
      <c r="C24" s="29" t="s">
        <v>35</v>
      </c>
      <c r="D24" s="29" t="s">
        <v>15</v>
      </c>
      <c r="E24" s="29">
        <v>4</v>
      </c>
      <c r="F24" s="29">
        <v>4</v>
      </c>
      <c r="G24" s="29">
        <v>4</v>
      </c>
      <c r="H24" s="29"/>
      <c r="I24" s="29"/>
      <c r="J24" s="29"/>
      <c r="K24" s="4"/>
      <c r="L24" s="4"/>
      <c r="M24" s="104">
        <f>SUM(G24:L27)</f>
        <v>10</v>
      </c>
      <c r="N24" s="106">
        <v>10</v>
      </c>
    </row>
    <row r="25" spans="1:14" ht="18" customHeight="1" x14ac:dyDescent="0.3">
      <c r="A25" s="109"/>
      <c r="B25" s="111"/>
      <c r="C25" s="29" t="s">
        <v>36</v>
      </c>
      <c r="D25" s="29" t="s">
        <v>15</v>
      </c>
      <c r="E25" s="29">
        <v>4</v>
      </c>
      <c r="F25" s="29">
        <v>4</v>
      </c>
      <c r="G25" s="29"/>
      <c r="H25" s="29">
        <v>4</v>
      </c>
      <c r="I25" s="29"/>
      <c r="J25" s="29"/>
      <c r="K25" s="4"/>
      <c r="L25" s="4"/>
      <c r="M25" s="104"/>
      <c r="N25" s="106"/>
    </row>
    <row r="26" spans="1:14" ht="18" customHeight="1" x14ac:dyDescent="0.3">
      <c r="A26" s="109"/>
      <c r="B26" s="111"/>
      <c r="C26" s="29" t="s">
        <v>37</v>
      </c>
      <c r="D26" s="29" t="s">
        <v>15</v>
      </c>
      <c r="E26" s="29">
        <v>1</v>
      </c>
      <c r="F26" s="29">
        <v>1</v>
      </c>
      <c r="G26" s="29">
        <v>1</v>
      </c>
      <c r="H26" s="29"/>
      <c r="I26" s="29"/>
      <c r="J26" s="29"/>
      <c r="K26" s="4"/>
      <c r="L26" s="4"/>
      <c r="M26" s="104"/>
      <c r="N26" s="106"/>
    </row>
    <row r="27" spans="1:14" ht="18" customHeight="1" x14ac:dyDescent="0.3">
      <c r="A27" s="109"/>
      <c r="B27" s="111"/>
      <c r="C27" s="29" t="s">
        <v>38</v>
      </c>
      <c r="D27" s="29" t="s">
        <v>15</v>
      </c>
      <c r="E27" s="29">
        <v>1</v>
      </c>
      <c r="F27" s="29">
        <v>1</v>
      </c>
      <c r="G27" s="29"/>
      <c r="H27" s="29">
        <v>1</v>
      </c>
      <c r="I27" s="29"/>
      <c r="J27" s="29"/>
      <c r="K27" s="29"/>
      <c r="L27" s="29"/>
      <c r="M27" s="105"/>
      <c r="N27" s="106"/>
    </row>
    <row r="28" spans="1:14" ht="18" customHeight="1" x14ac:dyDescent="0.3">
      <c r="A28" s="109"/>
      <c r="B28" s="107" t="s">
        <v>82</v>
      </c>
      <c r="C28" s="29" t="s">
        <v>39</v>
      </c>
      <c r="D28" s="29" t="s">
        <v>18</v>
      </c>
      <c r="E28" s="29">
        <v>3</v>
      </c>
      <c r="F28" s="29">
        <v>3</v>
      </c>
      <c r="G28" s="29">
        <v>3</v>
      </c>
      <c r="H28" s="29"/>
      <c r="I28" s="29"/>
      <c r="J28" s="29"/>
      <c r="K28" s="29"/>
      <c r="L28" s="29"/>
      <c r="M28" s="105">
        <f>SUM(G28:L33)</f>
        <v>14</v>
      </c>
      <c r="N28" s="106">
        <v>10</v>
      </c>
    </row>
    <row r="29" spans="1:14" ht="18" customHeight="1" x14ac:dyDescent="0.3">
      <c r="A29" s="109"/>
      <c r="B29" s="107"/>
      <c r="C29" s="29" t="s">
        <v>40</v>
      </c>
      <c r="D29" s="29" t="s">
        <v>18</v>
      </c>
      <c r="E29" s="29">
        <v>3</v>
      </c>
      <c r="F29" s="29">
        <v>3</v>
      </c>
      <c r="G29" s="29"/>
      <c r="H29" s="29">
        <v>3</v>
      </c>
      <c r="I29" s="29"/>
      <c r="J29" s="29"/>
      <c r="K29" s="29"/>
      <c r="L29" s="29"/>
      <c r="M29" s="105"/>
      <c r="N29" s="106"/>
    </row>
    <row r="30" spans="1:14" ht="18" customHeight="1" x14ac:dyDescent="0.3">
      <c r="A30" s="109"/>
      <c r="B30" s="107"/>
      <c r="C30" s="29" t="s">
        <v>83</v>
      </c>
      <c r="D30" s="29" t="s">
        <v>42</v>
      </c>
      <c r="E30" s="29">
        <v>2</v>
      </c>
      <c r="F30" s="29">
        <v>2</v>
      </c>
      <c r="G30" s="29"/>
      <c r="H30" s="29"/>
      <c r="I30" s="29">
        <v>2</v>
      </c>
      <c r="J30" s="29"/>
      <c r="K30" s="29"/>
      <c r="L30" s="29"/>
      <c r="M30" s="105"/>
      <c r="N30" s="106"/>
    </row>
    <row r="31" spans="1:14" ht="18" customHeight="1" x14ac:dyDescent="0.3">
      <c r="A31" s="109"/>
      <c r="B31" s="107"/>
      <c r="C31" s="29" t="s">
        <v>43</v>
      </c>
      <c r="D31" s="29" t="s">
        <v>42</v>
      </c>
      <c r="E31" s="29">
        <v>2</v>
      </c>
      <c r="F31" s="29">
        <v>2</v>
      </c>
      <c r="G31" s="29"/>
      <c r="H31" s="29"/>
      <c r="I31" s="29"/>
      <c r="J31" s="29">
        <v>2</v>
      </c>
      <c r="K31" s="29"/>
      <c r="L31" s="29"/>
      <c r="M31" s="105"/>
      <c r="N31" s="106"/>
    </row>
    <row r="32" spans="1:14" ht="18" customHeight="1" x14ac:dyDescent="0.3">
      <c r="A32" s="109"/>
      <c r="B32" s="107"/>
      <c r="C32" s="29" t="s">
        <v>41</v>
      </c>
      <c r="D32" s="29" t="s">
        <v>42</v>
      </c>
      <c r="E32" s="29">
        <v>3</v>
      </c>
      <c r="F32" s="29">
        <v>2</v>
      </c>
      <c r="G32" s="29"/>
      <c r="H32" s="29"/>
      <c r="I32" s="29"/>
      <c r="J32" s="29"/>
      <c r="K32" s="29">
        <v>2</v>
      </c>
      <c r="L32" s="29"/>
      <c r="M32" s="105"/>
      <c r="N32" s="106"/>
    </row>
    <row r="33" spans="1:14" ht="18" customHeight="1" x14ac:dyDescent="0.3">
      <c r="A33" s="109"/>
      <c r="B33" s="107"/>
      <c r="C33" s="29" t="s">
        <v>44</v>
      </c>
      <c r="D33" s="29" t="s">
        <v>45</v>
      </c>
      <c r="E33" s="29">
        <v>3</v>
      </c>
      <c r="F33" s="29">
        <v>2</v>
      </c>
      <c r="G33" s="29"/>
      <c r="H33" s="29"/>
      <c r="I33" s="29"/>
      <c r="J33" s="29"/>
      <c r="K33" s="29"/>
      <c r="L33" s="29">
        <v>2</v>
      </c>
      <c r="M33" s="105"/>
      <c r="N33" s="106"/>
    </row>
    <row r="34" spans="1:14" ht="18" customHeight="1" x14ac:dyDescent="0.3">
      <c r="A34" s="109"/>
      <c r="B34" s="65" t="s">
        <v>64</v>
      </c>
      <c r="C34" s="29" t="s">
        <v>46</v>
      </c>
      <c r="D34" s="29" t="s">
        <v>18</v>
      </c>
      <c r="E34" s="29">
        <v>3</v>
      </c>
      <c r="F34" s="29">
        <v>2</v>
      </c>
      <c r="G34" s="29">
        <v>2</v>
      </c>
      <c r="H34" s="29"/>
      <c r="I34" s="29"/>
      <c r="J34" s="29"/>
      <c r="K34" s="29"/>
      <c r="L34" s="29"/>
      <c r="M34" s="88">
        <v>4</v>
      </c>
      <c r="N34" s="85">
        <v>10</v>
      </c>
    </row>
    <row r="35" spans="1:14" ht="18" customHeight="1" x14ac:dyDescent="0.3">
      <c r="A35" s="109"/>
      <c r="B35" s="72"/>
      <c r="C35" s="29" t="s">
        <v>47</v>
      </c>
      <c r="D35" s="29" t="s">
        <v>18</v>
      </c>
      <c r="E35" s="29">
        <v>3</v>
      </c>
      <c r="F35" s="29">
        <v>2</v>
      </c>
      <c r="G35" s="6"/>
      <c r="H35" s="29">
        <v>2</v>
      </c>
      <c r="I35" s="29"/>
      <c r="J35" s="29"/>
      <c r="K35" s="29"/>
      <c r="L35" s="29"/>
      <c r="M35" s="92"/>
      <c r="N35" s="91"/>
    </row>
    <row r="36" spans="1:14" ht="18.899999999999999" customHeight="1" thickBot="1" x14ac:dyDescent="0.35">
      <c r="A36" s="40"/>
      <c r="B36" s="93" t="s">
        <v>48</v>
      </c>
      <c r="C36" s="94"/>
      <c r="D36" s="94"/>
      <c r="E36" s="94"/>
      <c r="F36" s="95"/>
      <c r="G36" s="7">
        <f t="shared" ref="G36:L36" si="0">SUM(G5:G35)</f>
        <v>29</v>
      </c>
      <c r="H36" s="7">
        <f t="shared" si="0"/>
        <v>29</v>
      </c>
      <c r="I36" s="7">
        <f t="shared" si="0"/>
        <v>14</v>
      </c>
      <c r="J36" s="7">
        <f t="shared" si="0"/>
        <v>13</v>
      </c>
      <c r="K36" s="7">
        <f t="shared" si="0"/>
        <v>14</v>
      </c>
      <c r="L36" s="7">
        <f t="shared" si="0"/>
        <v>2</v>
      </c>
      <c r="M36" s="7">
        <f>SUM(G36:L36)</f>
        <v>101</v>
      </c>
      <c r="N36" s="41">
        <f>SUM(N5:N35)</f>
        <v>68</v>
      </c>
    </row>
    <row r="37" spans="1:14" ht="18" customHeight="1" x14ac:dyDescent="0.3">
      <c r="A37" s="96" t="s">
        <v>49</v>
      </c>
      <c r="B37" s="65" t="s">
        <v>78</v>
      </c>
      <c r="C37" s="28" t="s">
        <v>92</v>
      </c>
      <c r="D37" s="8" t="s">
        <v>57</v>
      </c>
      <c r="E37" s="28">
        <v>4</v>
      </c>
      <c r="F37" s="9">
        <v>3</v>
      </c>
      <c r="G37" s="90"/>
      <c r="H37" s="90"/>
      <c r="I37" s="92" t="s">
        <v>51</v>
      </c>
      <c r="J37" s="90"/>
      <c r="K37" s="90"/>
      <c r="L37" s="90"/>
      <c r="M37" s="90"/>
      <c r="N37" s="91"/>
    </row>
    <row r="38" spans="1:14" ht="18" customHeight="1" x14ac:dyDescent="0.3">
      <c r="A38" s="97"/>
      <c r="B38" s="103"/>
      <c r="C38" s="32" t="s">
        <v>89</v>
      </c>
      <c r="D38" s="10" t="s">
        <v>18</v>
      </c>
      <c r="E38" s="32">
        <v>4</v>
      </c>
      <c r="F38" s="35">
        <v>3</v>
      </c>
      <c r="G38" s="90"/>
      <c r="H38" s="90"/>
      <c r="I38" s="92"/>
      <c r="J38" s="90"/>
      <c r="K38" s="90"/>
      <c r="L38" s="90"/>
      <c r="M38" s="90"/>
      <c r="N38" s="91"/>
    </row>
    <row r="39" spans="1:14" ht="18" customHeight="1" x14ac:dyDescent="0.3">
      <c r="A39" s="97"/>
      <c r="B39" s="65" t="s">
        <v>78</v>
      </c>
      <c r="C39" s="32" t="s">
        <v>86</v>
      </c>
      <c r="D39" s="10" t="s">
        <v>53</v>
      </c>
      <c r="E39" s="32">
        <v>4</v>
      </c>
      <c r="F39" s="35">
        <v>3</v>
      </c>
      <c r="G39" s="77"/>
      <c r="H39" s="77"/>
      <c r="I39" s="88" t="s">
        <v>54</v>
      </c>
      <c r="J39" s="88"/>
      <c r="K39" s="77"/>
      <c r="L39" s="77"/>
      <c r="M39" s="77"/>
      <c r="N39" s="85"/>
    </row>
    <row r="40" spans="1:14" ht="18" customHeight="1" x14ac:dyDescent="0.3">
      <c r="A40" s="97"/>
      <c r="B40" s="103"/>
      <c r="C40" s="32" t="s">
        <v>91</v>
      </c>
      <c r="D40" s="10" t="s">
        <v>85</v>
      </c>
      <c r="E40" s="32">
        <v>4</v>
      </c>
      <c r="F40" s="35">
        <v>3</v>
      </c>
      <c r="G40" s="90"/>
      <c r="H40" s="90"/>
      <c r="I40" s="90"/>
      <c r="J40" s="90"/>
      <c r="K40" s="90"/>
      <c r="L40" s="90"/>
      <c r="M40" s="90"/>
      <c r="N40" s="91"/>
    </row>
    <row r="41" spans="1:14" ht="18" customHeight="1" x14ac:dyDescent="0.3">
      <c r="A41" s="97"/>
      <c r="B41" s="65" t="s">
        <v>78</v>
      </c>
      <c r="C41" s="33" t="s">
        <v>93</v>
      </c>
      <c r="D41" s="12" t="s">
        <v>42</v>
      </c>
      <c r="E41" s="33">
        <v>4</v>
      </c>
      <c r="F41" s="34">
        <v>3</v>
      </c>
      <c r="G41" s="81"/>
      <c r="H41" s="81"/>
      <c r="I41" s="81"/>
      <c r="J41" s="83" t="s">
        <v>51</v>
      </c>
      <c r="K41" s="88"/>
      <c r="L41" s="77"/>
      <c r="M41" s="77"/>
      <c r="N41" s="85"/>
    </row>
    <row r="42" spans="1:14" ht="18" customHeight="1" x14ac:dyDescent="0.3">
      <c r="A42" s="97"/>
      <c r="B42" s="103"/>
      <c r="C42" s="33" t="s">
        <v>94</v>
      </c>
      <c r="D42" s="12" t="s">
        <v>42</v>
      </c>
      <c r="E42" s="33">
        <v>4</v>
      </c>
      <c r="F42" s="34">
        <v>3</v>
      </c>
      <c r="G42" s="82"/>
      <c r="H42" s="82"/>
      <c r="I42" s="82"/>
      <c r="J42" s="84"/>
      <c r="K42" s="89"/>
      <c r="L42" s="78"/>
      <c r="M42" s="78"/>
      <c r="N42" s="86"/>
    </row>
    <row r="43" spans="1:14" ht="24" customHeight="1" x14ac:dyDescent="0.3">
      <c r="A43" s="97"/>
      <c r="B43" s="11" t="s">
        <v>55</v>
      </c>
      <c r="C43" s="49" t="s">
        <v>56</v>
      </c>
      <c r="D43" s="12" t="s">
        <v>42</v>
      </c>
      <c r="E43" s="49">
        <v>4</v>
      </c>
      <c r="F43" s="50">
        <v>3</v>
      </c>
      <c r="G43" s="13"/>
      <c r="H43" s="13"/>
      <c r="I43" s="13"/>
      <c r="J43" s="13"/>
      <c r="K43" s="50" t="s">
        <v>54</v>
      </c>
      <c r="L43" s="13"/>
      <c r="M43" s="14"/>
      <c r="N43" s="42"/>
    </row>
    <row r="44" spans="1:14" ht="18" customHeight="1" x14ac:dyDescent="0.3">
      <c r="A44" s="97"/>
      <c r="B44" s="101" t="s">
        <v>78</v>
      </c>
      <c r="C44" s="49" t="s">
        <v>87</v>
      </c>
      <c r="D44" s="20" t="s">
        <v>57</v>
      </c>
      <c r="E44" s="49">
        <v>4</v>
      </c>
      <c r="F44" s="50">
        <v>3</v>
      </c>
      <c r="G44" s="16"/>
      <c r="H44" s="17"/>
      <c r="I44" s="16"/>
      <c r="J44" s="16"/>
      <c r="K44" s="83" t="s">
        <v>51</v>
      </c>
      <c r="L44" s="87"/>
      <c r="M44" s="77"/>
      <c r="N44" s="85"/>
    </row>
    <row r="45" spans="1:14" ht="18" customHeight="1" x14ac:dyDescent="0.3">
      <c r="A45" s="97"/>
      <c r="B45" s="102"/>
      <c r="C45" s="49" t="s">
        <v>95</v>
      </c>
      <c r="D45" s="12" t="s">
        <v>50</v>
      </c>
      <c r="E45" s="49">
        <v>4</v>
      </c>
      <c r="F45" s="50">
        <v>3</v>
      </c>
      <c r="G45" s="18"/>
      <c r="H45" s="19"/>
      <c r="I45" s="18"/>
      <c r="J45" s="18"/>
      <c r="K45" s="82"/>
      <c r="L45" s="76"/>
      <c r="M45" s="78"/>
      <c r="N45" s="86"/>
    </row>
    <row r="46" spans="1:14" ht="18" customHeight="1" x14ac:dyDescent="0.3">
      <c r="A46" s="98"/>
      <c r="B46" s="101" t="s">
        <v>78</v>
      </c>
      <c r="C46" s="20" t="s">
        <v>96</v>
      </c>
      <c r="D46" s="20" t="s">
        <v>50</v>
      </c>
      <c r="E46" s="26">
        <v>4</v>
      </c>
      <c r="F46" s="51">
        <v>3</v>
      </c>
      <c r="G46" s="79"/>
      <c r="H46" s="79"/>
      <c r="I46" s="81"/>
      <c r="J46" s="81"/>
      <c r="K46" s="83" t="s">
        <v>54</v>
      </c>
      <c r="L46" s="75"/>
      <c r="M46" s="77"/>
      <c r="N46" s="69"/>
    </row>
    <row r="47" spans="1:14" ht="18" customHeight="1" x14ac:dyDescent="0.3">
      <c r="A47" s="98"/>
      <c r="B47" s="102"/>
      <c r="C47" s="20" t="s">
        <v>88</v>
      </c>
      <c r="D47" s="20" t="s">
        <v>42</v>
      </c>
      <c r="E47" s="26">
        <v>4</v>
      </c>
      <c r="F47" s="51">
        <v>3</v>
      </c>
      <c r="G47" s="80"/>
      <c r="H47" s="80"/>
      <c r="I47" s="82"/>
      <c r="J47" s="82"/>
      <c r="K47" s="84"/>
      <c r="L47" s="76"/>
      <c r="M47" s="78"/>
      <c r="N47" s="71"/>
    </row>
    <row r="48" spans="1:14" ht="24" customHeight="1" x14ac:dyDescent="0.3">
      <c r="A48" s="98"/>
      <c r="B48" s="11" t="s">
        <v>58</v>
      </c>
      <c r="C48" s="20" t="s">
        <v>59</v>
      </c>
      <c r="D48" s="20" t="s">
        <v>42</v>
      </c>
      <c r="E48" s="26">
        <v>4</v>
      </c>
      <c r="F48" s="51">
        <v>5</v>
      </c>
      <c r="G48" s="52"/>
      <c r="H48" s="52"/>
      <c r="I48" s="53"/>
      <c r="J48" s="53"/>
      <c r="K48" s="53"/>
      <c r="L48" s="54" t="s">
        <v>60</v>
      </c>
      <c r="M48" s="23"/>
      <c r="N48" s="43"/>
    </row>
    <row r="49" spans="1:14" ht="24" customHeight="1" x14ac:dyDescent="0.3">
      <c r="A49" s="98"/>
      <c r="B49" s="11" t="s">
        <v>55</v>
      </c>
      <c r="C49" s="20" t="s">
        <v>61</v>
      </c>
      <c r="D49" s="20" t="s">
        <v>45</v>
      </c>
      <c r="E49" s="26">
        <v>4</v>
      </c>
      <c r="F49" s="55">
        <v>5</v>
      </c>
      <c r="G49" s="52"/>
      <c r="H49" s="52"/>
      <c r="I49" s="53"/>
      <c r="J49" s="53"/>
      <c r="K49" s="56"/>
      <c r="L49" s="54" t="s">
        <v>60</v>
      </c>
      <c r="M49" s="23"/>
      <c r="N49" s="43"/>
    </row>
    <row r="50" spans="1:14" ht="24" customHeight="1" x14ac:dyDescent="0.3">
      <c r="A50" s="98"/>
      <c r="B50" s="57" t="s">
        <v>62</v>
      </c>
      <c r="C50" s="20" t="s">
        <v>63</v>
      </c>
      <c r="D50" s="20" t="s">
        <v>42</v>
      </c>
      <c r="E50" s="26">
        <v>4</v>
      </c>
      <c r="F50" s="51">
        <v>5</v>
      </c>
      <c r="G50" s="58"/>
      <c r="H50" s="58"/>
      <c r="I50" s="13"/>
      <c r="J50" s="13"/>
      <c r="K50" s="59"/>
      <c r="L50" s="54" t="s">
        <v>60</v>
      </c>
      <c r="M50" s="14"/>
      <c r="N50" s="44"/>
    </row>
    <row r="51" spans="1:14" ht="18" customHeight="1" x14ac:dyDescent="0.3">
      <c r="A51" s="98"/>
      <c r="B51" s="99" t="s">
        <v>78</v>
      </c>
      <c r="C51" s="20" t="s">
        <v>97</v>
      </c>
      <c r="D51" s="20" t="s">
        <v>45</v>
      </c>
      <c r="E51" s="26">
        <v>4</v>
      </c>
      <c r="F51" s="51">
        <v>3</v>
      </c>
      <c r="G51" s="79"/>
      <c r="H51" s="79"/>
      <c r="I51" s="81"/>
      <c r="J51" s="81"/>
      <c r="K51" s="83"/>
      <c r="L51" s="83" t="s">
        <v>51</v>
      </c>
      <c r="M51" s="77"/>
      <c r="N51" s="69"/>
    </row>
    <row r="52" spans="1:14" ht="18" customHeight="1" x14ac:dyDescent="0.3">
      <c r="A52" s="98"/>
      <c r="B52" s="100"/>
      <c r="C52" s="20" t="s">
        <v>90</v>
      </c>
      <c r="D52" s="20" t="s">
        <v>45</v>
      </c>
      <c r="E52" s="26">
        <v>4</v>
      </c>
      <c r="F52" s="51">
        <v>3</v>
      </c>
      <c r="G52" s="80"/>
      <c r="H52" s="80"/>
      <c r="I52" s="82"/>
      <c r="J52" s="82"/>
      <c r="K52" s="84"/>
      <c r="L52" s="84"/>
      <c r="M52" s="78"/>
      <c r="N52" s="71"/>
    </row>
    <row r="53" spans="1:14" ht="24" customHeight="1" x14ac:dyDescent="0.3">
      <c r="A53" s="98"/>
      <c r="B53" s="57" t="s">
        <v>52</v>
      </c>
      <c r="C53" s="20" t="s">
        <v>98</v>
      </c>
      <c r="D53" s="20" t="s">
        <v>50</v>
      </c>
      <c r="E53" s="26">
        <v>4</v>
      </c>
      <c r="F53" s="51">
        <v>3</v>
      </c>
      <c r="G53" s="60"/>
      <c r="H53" s="60"/>
      <c r="I53" s="49"/>
      <c r="J53" s="49"/>
      <c r="K53" s="50"/>
      <c r="L53" s="50" t="s">
        <v>54</v>
      </c>
      <c r="M53" s="32"/>
      <c r="N53" s="45"/>
    </row>
    <row r="54" spans="1:14" ht="24" customHeight="1" x14ac:dyDescent="0.3">
      <c r="A54" s="98"/>
      <c r="B54" s="65" t="s">
        <v>64</v>
      </c>
      <c r="C54" s="15" t="s">
        <v>65</v>
      </c>
      <c r="D54" s="15" t="s">
        <v>42</v>
      </c>
      <c r="E54" s="29">
        <v>3</v>
      </c>
      <c r="F54" s="21">
        <v>3</v>
      </c>
      <c r="G54" s="25"/>
      <c r="H54" s="25"/>
      <c r="I54" s="30" t="s">
        <v>54</v>
      </c>
      <c r="J54" s="29"/>
      <c r="K54" s="30"/>
      <c r="L54" s="30"/>
      <c r="M54" s="29"/>
      <c r="N54" s="46"/>
    </row>
    <row r="55" spans="1:14" ht="24" customHeight="1" x14ac:dyDescent="0.3">
      <c r="A55" s="98"/>
      <c r="B55" s="66"/>
      <c r="C55" s="15" t="s">
        <v>66</v>
      </c>
      <c r="D55" s="15" t="s">
        <v>42</v>
      </c>
      <c r="E55" s="29">
        <v>3</v>
      </c>
      <c r="F55" s="21">
        <v>3</v>
      </c>
      <c r="G55" s="25"/>
      <c r="H55" s="25"/>
      <c r="I55" s="30"/>
      <c r="J55" s="30" t="s">
        <v>54</v>
      </c>
      <c r="K55" s="30"/>
      <c r="L55" s="29"/>
      <c r="M55" s="31"/>
      <c r="N55" s="47"/>
    </row>
    <row r="56" spans="1:14" ht="24" customHeight="1" x14ac:dyDescent="0.3">
      <c r="A56" s="98"/>
      <c r="B56" s="67" t="s">
        <v>67</v>
      </c>
      <c r="C56" s="15" t="s">
        <v>68</v>
      </c>
      <c r="D56" s="15" t="s">
        <v>18</v>
      </c>
      <c r="E56" s="29">
        <v>4</v>
      </c>
      <c r="F56" s="21">
        <v>3</v>
      </c>
      <c r="G56" s="22"/>
      <c r="H56" s="30"/>
      <c r="I56" s="30" t="s">
        <v>54</v>
      </c>
      <c r="J56" s="23"/>
      <c r="K56" s="23"/>
      <c r="L56" s="23"/>
      <c r="M56" s="23"/>
      <c r="N56" s="69">
        <v>16</v>
      </c>
    </row>
    <row r="57" spans="1:14" ht="24" customHeight="1" x14ac:dyDescent="0.3">
      <c r="A57" s="98"/>
      <c r="B57" s="68"/>
      <c r="C57" s="15" t="s">
        <v>69</v>
      </c>
      <c r="D57" s="15" t="s">
        <v>42</v>
      </c>
      <c r="E57" s="29">
        <v>4</v>
      </c>
      <c r="F57" s="21">
        <v>3</v>
      </c>
      <c r="G57" s="22"/>
      <c r="H57" s="30"/>
      <c r="I57" s="30"/>
      <c r="J57" s="30" t="s">
        <v>54</v>
      </c>
      <c r="K57" s="23"/>
      <c r="L57" s="23"/>
      <c r="M57" s="23"/>
      <c r="N57" s="70"/>
    </row>
    <row r="58" spans="1:14" ht="24" customHeight="1" x14ac:dyDescent="0.3">
      <c r="A58" s="98"/>
      <c r="B58" s="65" t="s">
        <v>77</v>
      </c>
      <c r="C58" s="15" t="s">
        <v>70</v>
      </c>
      <c r="D58" s="15" t="s">
        <v>53</v>
      </c>
      <c r="E58" s="6" t="s">
        <v>71</v>
      </c>
      <c r="F58" s="21">
        <v>4</v>
      </c>
      <c r="G58" s="22"/>
      <c r="H58" s="24"/>
      <c r="I58" s="39"/>
      <c r="J58" s="30" t="s">
        <v>72</v>
      </c>
      <c r="K58" s="23"/>
      <c r="L58" s="23"/>
      <c r="M58" s="23"/>
      <c r="N58" s="70"/>
    </row>
    <row r="59" spans="1:14" ht="24" customHeight="1" x14ac:dyDescent="0.3">
      <c r="A59" s="98"/>
      <c r="B59" s="72"/>
      <c r="C59" s="15" t="s">
        <v>99</v>
      </c>
      <c r="D59" s="15" t="s">
        <v>42</v>
      </c>
      <c r="E59" s="29">
        <v>3</v>
      </c>
      <c r="F59" s="21">
        <v>3</v>
      </c>
      <c r="G59" s="22"/>
      <c r="H59" s="24"/>
      <c r="I59" s="23"/>
      <c r="J59" s="23"/>
      <c r="K59" s="30" t="s">
        <v>54</v>
      </c>
      <c r="L59" s="24"/>
      <c r="M59" s="23"/>
      <c r="N59" s="70"/>
    </row>
    <row r="60" spans="1:14" ht="24" customHeight="1" x14ac:dyDescent="0.3">
      <c r="A60" s="98"/>
      <c r="B60" s="72"/>
      <c r="C60" s="15" t="s">
        <v>100</v>
      </c>
      <c r="D60" s="15" t="s">
        <v>18</v>
      </c>
      <c r="E60" s="29">
        <v>3</v>
      </c>
      <c r="F60" s="21">
        <v>3</v>
      </c>
      <c r="G60" s="22"/>
      <c r="H60" s="24"/>
      <c r="I60" s="23"/>
      <c r="J60" s="23"/>
      <c r="K60" s="23"/>
      <c r="L60" s="30" t="s">
        <v>54</v>
      </c>
      <c r="M60" s="14"/>
      <c r="N60" s="71"/>
    </row>
    <row r="61" spans="1:14" ht="18.899999999999999" customHeight="1" x14ac:dyDescent="0.3">
      <c r="A61" s="73" t="s">
        <v>73</v>
      </c>
      <c r="B61" s="74"/>
      <c r="C61" s="74"/>
      <c r="D61" s="74"/>
      <c r="E61" s="74"/>
      <c r="F61" s="74"/>
      <c r="G61" s="26">
        <v>29</v>
      </c>
      <c r="H61" s="26">
        <v>29</v>
      </c>
      <c r="I61" s="26">
        <v>29</v>
      </c>
      <c r="J61" s="26">
        <v>29</v>
      </c>
      <c r="K61" s="26">
        <v>29</v>
      </c>
      <c r="L61" s="26">
        <v>29</v>
      </c>
      <c r="M61" s="29">
        <f t="shared" ref="M61:M63" si="1">SUM(G61:L61)</f>
        <v>174</v>
      </c>
      <c r="N61" s="43"/>
    </row>
    <row r="62" spans="1:14" ht="18.899999999999999" customHeight="1" x14ac:dyDescent="0.3">
      <c r="A62" s="61" t="s">
        <v>74</v>
      </c>
      <c r="B62" s="62"/>
      <c r="C62" s="62"/>
      <c r="D62" s="62"/>
      <c r="E62" s="62"/>
      <c r="F62" s="62"/>
      <c r="G62" s="29">
        <v>3</v>
      </c>
      <c r="H62" s="29">
        <v>3</v>
      </c>
      <c r="I62" s="29">
        <v>3</v>
      </c>
      <c r="J62" s="29">
        <v>3</v>
      </c>
      <c r="K62" s="29">
        <v>3</v>
      </c>
      <c r="L62" s="29">
        <v>3</v>
      </c>
      <c r="M62" s="29">
        <f t="shared" si="1"/>
        <v>18</v>
      </c>
      <c r="N62" s="43"/>
    </row>
    <row r="63" spans="1:14" ht="18.899999999999999" customHeight="1" x14ac:dyDescent="0.3">
      <c r="A63" s="61" t="s">
        <v>75</v>
      </c>
      <c r="B63" s="62"/>
      <c r="C63" s="62"/>
      <c r="D63" s="62"/>
      <c r="E63" s="62"/>
      <c r="F63" s="62"/>
      <c r="G63" s="29">
        <v>32</v>
      </c>
      <c r="H63" s="29">
        <v>32</v>
      </c>
      <c r="I63" s="29">
        <v>32</v>
      </c>
      <c r="J63" s="29">
        <v>32</v>
      </c>
      <c r="K63" s="29">
        <v>32</v>
      </c>
      <c r="L63" s="29">
        <v>32</v>
      </c>
      <c r="M63" s="29">
        <f t="shared" si="1"/>
        <v>192</v>
      </c>
      <c r="N63" s="43"/>
    </row>
    <row r="64" spans="1:14" ht="18.899999999999999" customHeight="1" thickBot="1" x14ac:dyDescent="0.35">
      <c r="A64" s="63" t="s">
        <v>76</v>
      </c>
      <c r="B64" s="64"/>
      <c r="C64" s="64"/>
      <c r="D64" s="64"/>
      <c r="E64" s="64"/>
      <c r="F64" s="64"/>
      <c r="G64" s="7">
        <v>9</v>
      </c>
      <c r="H64" s="7">
        <v>9</v>
      </c>
      <c r="I64" s="7">
        <v>9</v>
      </c>
      <c r="J64" s="7">
        <v>9</v>
      </c>
      <c r="K64" s="7">
        <v>9</v>
      </c>
      <c r="L64" s="7">
        <v>8</v>
      </c>
      <c r="M64" s="7">
        <f>SUM(G64:L64)</f>
        <v>53</v>
      </c>
      <c r="N64" s="48"/>
    </row>
    <row r="65" spans="2:14" ht="14.25" customHeight="1" x14ac:dyDescent="0.3"/>
    <row r="66" spans="2:14" ht="17.399999999999999" x14ac:dyDescent="0.4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2:14" ht="17.399999999999999" x14ac:dyDescent="0.4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spans="2:14" ht="17.399999999999999" x14ac:dyDescent="0.4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spans="2:14" ht="17.399999999999999" x14ac:dyDescent="0.4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spans="2:14" ht="17.399999999999999" x14ac:dyDescent="0.4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 spans="2:14" ht="17.399999999999999" x14ac:dyDescent="0.4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spans="2:14" ht="17.399999999999999" x14ac:dyDescent="0.4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2:14" ht="17.399999999999999" x14ac:dyDescent="0.4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 spans="2:14" ht="17.399999999999999" x14ac:dyDescent="0.4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</sheetData>
  <mergeCells count="98">
    <mergeCell ref="A1:N1"/>
    <mergeCell ref="I2:N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M4"/>
    <mergeCell ref="N3:N4"/>
    <mergeCell ref="A2:B2"/>
    <mergeCell ref="A5:A35"/>
    <mergeCell ref="B5:B9"/>
    <mergeCell ref="M5:M9"/>
    <mergeCell ref="N5:N9"/>
    <mergeCell ref="B10:B14"/>
    <mergeCell ref="M10:M14"/>
    <mergeCell ref="N10:N14"/>
    <mergeCell ref="B15:B19"/>
    <mergeCell ref="M15:M19"/>
    <mergeCell ref="N15:N19"/>
    <mergeCell ref="B20:B23"/>
    <mergeCell ref="M20:M21"/>
    <mergeCell ref="N20:N21"/>
    <mergeCell ref="M22:M23"/>
    <mergeCell ref="N22:N23"/>
    <mergeCell ref="B24:B27"/>
    <mergeCell ref="M24:M27"/>
    <mergeCell ref="N24:N27"/>
    <mergeCell ref="B28:B33"/>
    <mergeCell ref="M28:M33"/>
    <mergeCell ref="N28:N33"/>
    <mergeCell ref="B34:B35"/>
    <mergeCell ref="M34:M35"/>
    <mergeCell ref="N34:N35"/>
    <mergeCell ref="B36:F36"/>
    <mergeCell ref="A37:A60"/>
    <mergeCell ref="G37:G38"/>
    <mergeCell ref="H37:H38"/>
    <mergeCell ref="I37:I38"/>
    <mergeCell ref="J37:J38"/>
    <mergeCell ref="K37:K38"/>
    <mergeCell ref="B51:B52"/>
    <mergeCell ref="B46:B47"/>
    <mergeCell ref="B44:B45"/>
    <mergeCell ref="B41:B42"/>
    <mergeCell ref="B39:B40"/>
    <mergeCell ref="B37:B38"/>
    <mergeCell ref="L37:L38"/>
    <mergeCell ref="M37:M38"/>
    <mergeCell ref="N37:N38"/>
    <mergeCell ref="G39:G40"/>
    <mergeCell ref="H39:H40"/>
    <mergeCell ref="I39:I40"/>
    <mergeCell ref="J39:J40"/>
    <mergeCell ref="K39:K40"/>
    <mergeCell ref="L39:L40"/>
    <mergeCell ref="M39:M40"/>
    <mergeCell ref="N39:N40"/>
    <mergeCell ref="G41:G42"/>
    <mergeCell ref="H41:H42"/>
    <mergeCell ref="I41:I42"/>
    <mergeCell ref="J41:J42"/>
    <mergeCell ref="K41:K42"/>
    <mergeCell ref="L41:L42"/>
    <mergeCell ref="M41:M42"/>
    <mergeCell ref="N41:N42"/>
    <mergeCell ref="K44:K45"/>
    <mergeCell ref="L44:L45"/>
    <mergeCell ref="M44:M45"/>
    <mergeCell ref="N44:N45"/>
    <mergeCell ref="L46:L47"/>
    <mergeCell ref="M46:M47"/>
    <mergeCell ref="N46:N47"/>
    <mergeCell ref="G51:G52"/>
    <mergeCell ref="H51:H52"/>
    <mergeCell ref="I51:I52"/>
    <mergeCell ref="J51:J52"/>
    <mergeCell ref="K51:K52"/>
    <mergeCell ref="L51:L52"/>
    <mergeCell ref="M51:M52"/>
    <mergeCell ref="N51:N52"/>
    <mergeCell ref="G46:G47"/>
    <mergeCell ref="H46:H47"/>
    <mergeCell ref="I46:I47"/>
    <mergeCell ref="J46:J47"/>
    <mergeCell ref="K46:K47"/>
    <mergeCell ref="A63:F63"/>
    <mergeCell ref="A64:F64"/>
    <mergeCell ref="B54:B55"/>
    <mergeCell ref="B56:B57"/>
    <mergeCell ref="N56:N60"/>
    <mergeCell ref="B58:B60"/>
    <mergeCell ref="A61:F61"/>
    <mergeCell ref="A62:F62"/>
  </mergeCells>
  <phoneticPr fontId="2" type="noConversion"/>
  <pageMargins left="0.7" right="0.7" top="0.75" bottom="0.75" header="0.3" footer="0.3"/>
  <pageSetup paperSize="9" scale="61" orientation="portrait" horizontalDpi="200" verticalDpi="200" r:id="rId1"/>
  <ignoredErrors>
    <ignoredError sqref="M3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 입학생</vt:lpstr>
      <vt:lpstr>'2026 입학생'!Print_Area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이선민</cp:lastModifiedBy>
  <cp:lastPrinted>2026-06-30T08:19:54Z</cp:lastPrinted>
  <dcterms:created xsi:type="dcterms:W3CDTF">2026-06-25T09:25:55Z</dcterms:created>
  <dcterms:modified xsi:type="dcterms:W3CDTF">2026-06-30T09:12:12Z</dcterms:modified>
</cp:coreProperties>
</file>