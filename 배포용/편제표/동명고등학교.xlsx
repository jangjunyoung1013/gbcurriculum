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1C53ADF-174C-4D59-8C50-F2B9273263D1}" xr6:coauthVersionLast="36" xr6:coauthVersionMax="36" xr10:uidLastSave="{00000000-0000-0000-0000-000000000000}"/>
  <bookViews>
    <workbookView xWindow="0" yWindow="0" windowWidth="21570" windowHeight="7935" tabRatio="681" xr2:uid="{00000000-000D-0000-FFFF-FFFF00000000}"/>
  </bookViews>
  <sheets>
    <sheet name="일반고" sheetId="20" r:id="rId1"/>
  </sheets>
  <definedNames>
    <definedName name="_xlnm.Print_Area" localSheetId="0">일반고!$A$1:$N$79</definedName>
  </definedNames>
  <calcPr calcId="191029"/>
</workbook>
</file>

<file path=xl/calcChain.xml><?xml version="1.0" encoding="utf-8"?>
<calcChain xmlns="http://schemas.openxmlformats.org/spreadsheetml/2006/main">
  <c r="I43" i="20" l="1"/>
  <c r="J43" i="20"/>
  <c r="K43" i="20"/>
  <c r="L43" i="20"/>
  <c r="M37" i="20" l="1"/>
  <c r="M27" i="20"/>
  <c r="M25" i="20"/>
  <c r="M12" i="20"/>
  <c r="M6" i="20"/>
  <c r="M79" i="20" l="1"/>
  <c r="M78" i="20"/>
  <c r="M77" i="20"/>
  <c r="M76" i="20"/>
  <c r="N43" i="20"/>
  <c r="H43" i="20"/>
  <c r="G43" i="20"/>
  <c r="M41" i="20"/>
  <c r="M31" i="20"/>
  <c r="M18" i="20"/>
  <c r="M43" i="20" l="1"/>
</calcChain>
</file>

<file path=xl/sharedStrings.xml><?xml version="1.0" encoding="utf-8"?>
<sst xmlns="http://schemas.openxmlformats.org/spreadsheetml/2006/main" count="208" uniqueCount="131">
  <si>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</si>
  <si>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</si>
  <si>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</si>
  <si>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</si>
  <si>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</si>
  <si>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</si>
  <si>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</si>
  <si>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</si>
  <si>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</si>
  <si>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</si>
  <si>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</si>
  <si>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</si>
  <si>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</si>
  <si>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</si>
  <si>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</si>
  <si>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</si>
  <si>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</si>
  <si>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</si>
  <si>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</si>
  <si>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</si>
  <si>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</si>
  <si>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</si>
  <si>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</si>
  <si>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</si>
  <si>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</si>
  <si>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</si>
  <si>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</si>
  <si>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</si>
  <si>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</si>
  <si>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</si>
  <si>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</si>
  <si>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</si>
  <si>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</si>
  <si>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</si>
  <si>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</si>
  <si>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</si>
  <si>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</si>
  <si>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</si>
  <si>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</si>
  <si>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</si>
  <si>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</si>
  <si>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</si>
  <si>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</si>
  <si>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</si>
  <si>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</si>
  <si>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</si>
  <si>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</si>
  <si>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</si>
  <si>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</si>
  <si>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</si>
  <si>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</si>
  <si>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</si>
  <si>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</si>
  <si>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</si>
  <si>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</si>
  <si>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</si>
  <si>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</si>
  <si>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예 술</t>
  </si>
  <si>
    <t>음악</t>
    <phoneticPr fontId="7" type="noConversion"/>
  </si>
  <si>
    <t>미술</t>
    <phoneticPr fontId="7" type="noConversion"/>
  </si>
  <si>
    <t>기술·가정
/정보</t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</si>
  <si>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</si>
  <si>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</si>
  <si>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</si>
  <si>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학생선택</t>
  </si>
  <si>
    <t>사회</t>
    <phoneticPr fontId="7" type="noConversion"/>
  </si>
  <si>
    <t>사회와 문화</t>
    <phoneticPr fontId="7" type="noConversion"/>
  </si>
  <si>
    <t>주제 탐구 독서</t>
    <phoneticPr fontId="7" type="noConversion"/>
  </si>
  <si>
    <t>문학과 영상</t>
    <phoneticPr fontId="7" type="noConversion"/>
  </si>
  <si>
    <t>음악 연주와 창작</t>
    <phoneticPr fontId="7" type="noConversion"/>
  </si>
  <si>
    <t>운동과 건강</t>
    <phoneticPr fontId="7" type="noConversion"/>
  </si>
  <si>
    <t>진로</t>
    <phoneticPr fontId="7" type="noConversion"/>
  </si>
  <si>
    <t>수학과제 탐구</t>
    <phoneticPr fontId="7" type="noConversion"/>
  </si>
  <si>
    <t>융합</t>
    <phoneticPr fontId="7" type="noConversion"/>
  </si>
  <si>
    <t>일반</t>
    <phoneticPr fontId="7" type="noConversion"/>
  </si>
  <si>
    <t>문예 창작의 이해</t>
    <phoneticPr fontId="7" type="noConversion"/>
  </si>
  <si>
    <t>실생활 영어 회화</t>
    <phoneticPr fontId="7" type="noConversion"/>
  </si>
  <si>
    <t>영어</t>
    <phoneticPr fontId="7" type="noConversion"/>
  </si>
  <si>
    <t>수학</t>
    <phoneticPr fontId="7" type="noConversion"/>
  </si>
  <si>
    <t>과학</t>
    <phoneticPr fontId="7" type="noConversion"/>
  </si>
  <si>
    <t>일본어</t>
    <phoneticPr fontId="7" type="noConversion"/>
  </si>
  <si>
    <t>인공지능기초</t>
    <phoneticPr fontId="7" type="noConversion"/>
  </si>
  <si>
    <t>정보</t>
    <phoneticPr fontId="7" type="noConversion"/>
  </si>
  <si>
    <t>제2외국어</t>
    <phoneticPr fontId="7" type="noConversion"/>
  </si>
  <si>
    <t>일본어회화</t>
    <phoneticPr fontId="7" type="noConversion"/>
  </si>
  <si>
    <t>데이터 과학</t>
    <phoneticPr fontId="7" type="noConversion"/>
  </si>
  <si>
    <t>사회</t>
    <phoneticPr fontId="7" type="noConversion"/>
  </si>
  <si>
    <t>세계시민과 지리</t>
    <phoneticPr fontId="7" type="noConversion"/>
  </si>
  <si>
    <t>교양</t>
    <phoneticPr fontId="7" type="noConversion"/>
  </si>
  <si>
    <t>생태와 환경</t>
    <phoneticPr fontId="7" type="noConversion"/>
  </si>
  <si>
    <t>논리와 사고</t>
    <phoneticPr fontId="7" type="noConversion"/>
  </si>
  <si>
    <t>택1
(4)</t>
    <phoneticPr fontId="7" type="noConversion"/>
  </si>
  <si>
    <t>택1
(3)</t>
    <phoneticPr fontId="7" type="noConversion"/>
  </si>
  <si>
    <t>택1
(2)</t>
    <phoneticPr fontId="7" type="noConversion"/>
  </si>
  <si>
    <t>국어</t>
    <phoneticPr fontId="7" type="noConversion"/>
  </si>
  <si>
    <t>독서토론과 글쓰기</t>
    <phoneticPr fontId="7" type="noConversion"/>
  </si>
  <si>
    <t>세계 문화와 영어</t>
    <phoneticPr fontId="7" type="noConversion"/>
  </si>
  <si>
    <t>미적분Ⅱ</t>
    <phoneticPr fontId="7" type="noConversion"/>
  </si>
  <si>
    <t>세계사</t>
    <phoneticPr fontId="7" type="noConversion"/>
  </si>
  <si>
    <t>융합과학탐구</t>
    <phoneticPr fontId="7" type="noConversion"/>
  </si>
  <si>
    <t>매체 의사소통</t>
    <phoneticPr fontId="7" type="noConversion"/>
  </si>
  <si>
    <t>역사로 탐구하는 현대 세계</t>
    <phoneticPr fontId="7" type="noConversion"/>
  </si>
  <si>
    <t>과학의 역사와 문화</t>
    <phoneticPr fontId="7" type="noConversion"/>
  </si>
  <si>
    <t>2026학년도 입학생 3개년 교육과정 편성표</t>
    <phoneticPr fontId="7" type="noConversion"/>
  </si>
  <si>
    <t>사회문제 탐구</t>
    <phoneticPr fontId="7" type="noConversion"/>
  </si>
  <si>
    <t>생명과학</t>
    <phoneticPr fontId="7" type="noConversion"/>
  </si>
  <si>
    <t>일반</t>
    <phoneticPr fontId="7" type="noConversion"/>
  </si>
  <si>
    <t>택1
(3)</t>
    <phoneticPr fontId="7" type="noConversion"/>
  </si>
  <si>
    <t>국어</t>
    <phoneticPr fontId="7" type="noConversion"/>
  </si>
  <si>
    <t>진로</t>
    <phoneticPr fontId="7" type="noConversion"/>
  </si>
  <si>
    <t>*물리학</t>
    <phoneticPr fontId="7" type="noConversion"/>
  </si>
  <si>
    <t>*현대 사회와 윤리</t>
    <phoneticPr fontId="7" type="noConversion"/>
  </si>
  <si>
    <t>*지구과학</t>
    <phoneticPr fontId="7" type="noConversion"/>
  </si>
  <si>
    <t>화학</t>
    <phoneticPr fontId="7" type="noConversion"/>
  </si>
  <si>
    <t>법과 사회</t>
    <phoneticPr fontId="7" type="noConversion"/>
  </si>
  <si>
    <t>교육의 이해</t>
    <phoneticPr fontId="7" type="noConversion"/>
  </si>
  <si>
    <t>인간과 경제활동</t>
    <phoneticPr fontId="7" type="noConversion"/>
  </si>
  <si>
    <t>논술</t>
    <phoneticPr fontId="7" type="noConversion"/>
  </si>
  <si>
    <t>택1
(4)</t>
    <phoneticPr fontId="7" type="noConversion"/>
  </si>
  <si>
    <t>한국지리 탐구</t>
    <phoneticPr fontId="7" type="noConversion"/>
  </si>
  <si>
    <t>융합</t>
    <phoneticPr fontId="7" type="noConversion"/>
  </si>
  <si>
    <t>교양</t>
    <phoneticPr fontId="7" type="noConversion"/>
  </si>
  <si>
    <t>택2
(4)
8</t>
    <phoneticPr fontId="7" type="noConversion"/>
  </si>
  <si>
    <t>*윤리와 사상</t>
    <phoneticPr fontId="7" type="noConversion"/>
  </si>
  <si>
    <t>금융과 경제생활</t>
    <phoneticPr fontId="7" type="noConversion"/>
  </si>
  <si>
    <t>택1
(4)</t>
    <phoneticPr fontId="7" type="noConversion"/>
  </si>
  <si>
    <t>교양</t>
    <phoneticPr fontId="7" type="noConversion"/>
  </si>
  <si>
    <t>인간과 심리</t>
    <phoneticPr fontId="7" type="noConversion"/>
  </si>
  <si>
    <t>진로</t>
    <phoneticPr fontId="7" type="noConversion"/>
  </si>
  <si>
    <t>택1
(2)</t>
    <phoneticPr fontId="7" type="noConversion"/>
  </si>
  <si>
    <t>택1
(4)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</si>
</sst>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4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9"/>
      <color rgb="FF000000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Malgun Gothic Semilight"/>
      <family val="2"/>
      <charset val="129"/>
    </font>
    <font>
      <sz val="9"/>
      <color rgb="FF000000"/>
      <name val="Malgun Gothic Semilight"/>
      <family val="3"/>
      <charset val="129"/>
    </font>
    <font>
      <sz val="10"/>
      <color rgb="FF000000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23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2" xfId="0" applyNumberFormat="1" applyFont="1" applyFill="1" applyBorder="1" applyAlignment="1" applyProtection="1">
      <alignment horizontal="center" vertical="center"/>
    </xf>
    <xf numFmtId="0" fontId="6" fillId="0" borderId="11" xfId="0" applyNumberFormat="1" applyFont="1" applyFill="1" applyBorder="1" applyAlignment="1" applyProtection="1">
      <alignment horizontal="center" vertical="center"/>
    </xf>
    <xf numFmtId="0" fontId="3" fillId="0" borderId="10" xfId="0" applyNumberFormat="1" applyFont="1" applyFill="1" applyBorder="1" applyAlignment="1" applyProtection="1">
      <alignment horizontal="left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6" fillId="4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14" xfId="0" applyNumberFormat="1" applyFont="1" applyFill="1" applyBorder="1" applyAlignment="1" applyProtection="1">
      <alignment horizontal="center" vertical="center" wrapText="1"/>
    </xf>
    <xf numFmtId="0" fontId="6" fillId="0" borderId="20" xfId="0" applyNumberFormat="1" applyFont="1" applyFill="1" applyBorder="1" applyAlignment="1" applyProtection="1">
      <alignment horizontal="center" vertical="center"/>
    </xf>
    <xf numFmtId="0" fontId="0" fillId="0" borderId="14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0" fillId="0" borderId="14" xfId="0" applyNumberFormat="1" applyBorder="1" applyAlignment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20" xfId="0" applyNumberFormat="1" applyFont="1" applyFill="1" applyBorder="1" applyAlignment="1" applyProtection="1">
      <alignment horizontal="center" vertical="center"/>
    </xf>
    <xf numFmtId="49" fontId="6" fillId="0" borderId="7" xfId="0" applyNumberFormat="1" applyFont="1" applyFill="1" applyBorder="1" applyAlignment="1" applyProtection="1">
      <alignment horizontal="center" vertical="center"/>
    </xf>
    <xf numFmtId="0" fontId="1" fillId="0" borderId="23" xfId="0" applyNumberFormat="1" applyFont="1" applyFill="1" applyBorder="1" applyAlignment="1" applyProtection="1">
      <alignment vertical="center" wrapText="1"/>
    </xf>
    <xf numFmtId="0" fontId="6" fillId="0" borderId="27" xfId="0" applyNumberFormat="1" applyFont="1" applyFill="1" applyBorder="1" applyAlignment="1" applyProtection="1">
      <alignment horizontal="center" vertical="center"/>
    </xf>
    <xf numFmtId="0" fontId="6" fillId="0" borderId="28" xfId="0" applyNumberFormat="1" applyFont="1" applyFill="1" applyBorder="1" applyAlignment="1" applyProtection="1">
      <alignment horizontal="center" vertical="center"/>
    </xf>
    <xf numFmtId="0" fontId="6" fillId="3" borderId="14" xfId="0" applyNumberFormat="1" applyFont="1" applyFill="1" applyBorder="1" applyAlignment="1" applyProtection="1">
      <alignment horizontal="center" vertical="center"/>
    </xf>
    <xf numFmtId="0" fontId="6" fillId="0" borderId="2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20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0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20" xfId="0" applyNumberFormat="1" applyFont="1" applyFill="1" applyBorder="1" applyAlignment="1" applyProtection="1">
      <alignment horizontal="center" vertical="center"/>
    </xf>
    <xf numFmtId="0" fontId="0" fillId="0" borderId="20" xfId="0" applyNumberFormat="1" applyBorder="1" applyAlignment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0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20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  <xf numFmtId="0" fontId="0" fillId="0" borderId="20" xfId="0" applyNumberFormat="1" applyBorder="1" applyAlignment="1">
      <alignment horizontal="center" vertical="center" wrapText="1"/>
    </xf>
    <xf numFmtId="0" fontId="0" fillId="0" borderId="14" xfId="0" applyNumberFormat="1" applyBorder="1" applyAlignment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0" fillId="0" borderId="12" xfId="0" applyNumberFormat="1" applyBorder="1" applyAlignment="1">
      <alignment horizontal="center" vertical="center" wrapText="1"/>
    </xf>
    <xf numFmtId="0" fontId="0" fillId="0" borderId="14" xfId="0" applyNumberFormat="1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 wrapText="1"/>
    </xf>
    <xf numFmtId="0" fontId="1" fillId="0" borderId="17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22" xfId="0" applyNumberFormat="1" applyFont="1" applyFill="1" applyBorder="1" applyAlignment="1" applyProtection="1">
      <alignment horizontal="center" vertical="center" wrapText="1"/>
    </xf>
    <xf numFmtId="0" fontId="0" fillId="0" borderId="29" xfId="0" applyNumberFormat="1" applyBorder="1" applyAlignment="1">
      <alignment horizontal="center" vertical="center"/>
    </xf>
    <xf numFmtId="0" fontId="6" fillId="0" borderId="16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Border="1" applyAlignment="1">
      <alignment horizontal="center" vertical="center"/>
    </xf>
    <xf numFmtId="0" fontId="9" fillId="0" borderId="20" xfId="0" applyNumberFormat="1" applyFont="1" applyBorder="1" applyAlignment="1">
      <alignment horizontal="center" vertical="center"/>
    </xf>
    <xf numFmtId="0" fontId="9" fillId="0" borderId="14" xfId="0" applyNumberFormat="1" applyFont="1" applyBorder="1" applyAlignment="1">
      <alignment horizontal="center" vertical="center"/>
    </xf>
    <xf numFmtId="0" fontId="9" fillId="0" borderId="7" xfId="0" applyNumberFormat="1" applyFont="1" applyBorder="1" applyAlignment="1">
      <alignment horizontal="center" vertical="center" wrapText="1"/>
    </xf>
    <xf numFmtId="0" fontId="9" fillId="0" borderId="22" xfId="0" applyNumberFormat="1" applyFont="1" applyBorder="1" applyAlignment="1">
      <alignment horizontal="center" vertical="center" wrapText="1"/>
    </xf>
    <xf numFmtId="0" fontId="9" fillId="0" borderId="21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0" fillId="0" borderId="7" xfId="0" applyNumberFormat="1" applyFont="1" applyBorder="1" applyAlignment="1">
      <alignment horizontal="center" vertical="center" wrapText="1"/>
    </xf>
    <xf numFmtId="0" fontId="10" fillId="0" borderId="14" xfId="0" applyNumberFormat="1" applyFont="1" applyBorder="1" applyAlignment="1">
      <alignment horizontal="center" vertical="center"/>
    </xf>
    <xf numFmtId="0" fontId="12" fillId="0" borderId="7" xfId="0" applyNumberFormat="1" applyFont="1" applyBorder="1" applyAlignment="1">
      <alignment horizontal="center" vertical="center" wrapText="1"/>
    </xf>
    <xf numFmtId="0" fontId="12" fillId="0" borderId="14" xfId="0" applyNumberFormat="1" applyFont="1" applyBorder="1" applyAlignment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1" fillId="0" borderId="25" xfId="0" applyNumberFormat="1" applyFont="1" applyFill="1" applyBorder="1" applyAlignment="1" applyProtection="1">
      <alignment horizontal="center" vertical="center" wrapText="1"/>
    </xf>
    <xf numFmtId="0" fontId="1" fillId="0" borderId="26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11" fillId="0" borderId="7" xfId="0" applyNumberFormat="1" applyFont="1" applyBorder="1" applyAlignment="1">
      <alignment horizontal="center" vertical="center" wrapText="1"/>
    </xf>
    <xf numFmtId="0" fontId="13" fillId="0" borderId="7" xfId="0" applyNumberFormat="1" applyFont="1" applyFill="1" applyBorder="1" applyAlignment="1" applyProtection="1">
      <alignment horizontal="center" vertical="center" wrapText="1"/>
    </xf>
    <xf numFmtId="0" fontId="13" fillId="0" borderId="7" xfId="0" applyNumberFormat="1" applyFont="1" applyBorder="1" applyAlignment="1">
      <alignment horizontal="center" vertical="center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79"/>
  <sheetViews>
    <sheetView tabSelected="1" view="pageBreakPreview" zoomScale="130" zoomScaleNormal="130" zoomScaleSheetLayoutView="130" workbookViewId="0">
      <selection sqref="A1:N1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48" t="s">
        <v>103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4" ht="24" customHeight="1" x14ac:dyDescent="0.3">
      <c r="A2" s="12"/>
      <c r="B2" s="6"/>
      <c r="C2" s="6"/>
      <c r="D2" s="6"/>
      <c r="E2" s="6"/>
      <c r="F2" s="6"/>
      <c r="G2" s="6"/>
      <c r="H2" s="6"/>
      <c r="I2" s="49"/>
      <c r="J2" s="49"/>
      <c r="K2" s="49"/>
      <c r="L2" s="49"/>
      <c r="M2" s="49"/>
      <c r="N2" s="49"/>
    </row>
    <row r="3" spans="1:14" ht="13.5" customHeight="1" x14ac:dyDescent="0.15">
      <c r="A3" s="50" t="s">
        <v>3</v>
      </c>
      <c r="B3" s="53" t="s">
        <v>6</v>
      </c>
      <c r="C3" s="55" t="s">
        <v>8</v>
      </c>
      <c r="D3" s="55" t="s">
        <v>7</v>
      </c>
      <c r="E3" s="55" t="s">
        <v>12</v>
      </c>
      <c r="F3" s="55" t="s">
        <v>13</v>
      </c>
      <c r="G3" s="53" t="s">
        <v>1</v>
      </c>
      <c r="H3" s="53"/>
      <c r="I3" s="53" t="s">
        <v>5</v>
      </c>
      <c r="J3" s="53"/>
      <c r="K3" s="53" t="s">
        <v>4</v>
      </c>
      <c r="L3" s="53"/>
      <c r="M3" s="55" t="s">
        <v>9</v>
      </c>
      <c r="N3" s="57" t="s">
        <v>14</v>
      </c>
    </row>
    <row r="4" spans="1:14" x14ac:dyDescent="0.15">
      <c r="A4" s="51"/>
      <c r="B4" s="53"/>
      <c r="C4" s="55"/>
      <c r="D4" s="55"/>
      <c r="E4" s="55"/>
      <c r="F4" s="55"/>
      <c r="G4" s="53" t="s">
        <v>0</v>
      </c>
      <c r="H4" s="53" t="s">
        <v>2</v>
      </c>
      <c r="I4" s="53" t="s">
        <v>0</v>
      </c>
      <c r="J4" s="53" t="s">
        <v>2</v>
      </c>
      <c r="K4" s="53" t="s">
        <v>0</v>
      </c>
      <c r="L4" s="53" t="s">
        <v>2</v>
      </c>
      <c r="M4" s="53"/>
      <c r="N4" s="58"/>
    </row>
    <row r="5" spans="1:14" ht="14.25" thickBot="1" x14ac:dyDescent="0.2">
      <c r="A5" s="52"/>
      <c r="B5" s="54"/>
      <c r="C5" s="56"/>
      <c r="D5" s="56"/>
      <c r="E5" s="56"/>
      <c r="F5" s="56"/>
      <c r="G5" s="54"/>
      <c r="H5" s="54"/>
      <c r="I5" s="54"/>
      <c r="J5" s="54"/>
      <c r="K5" s="54"/>
      <c r="L5" s="54"/>
      <c r="M5" s="54"/>
      <c r="N5" s="59"/>
    </row>
    <row r="6" spans="1:14" ht="17.25" customHeight="1" x14ac:dyDescent="0.15">
      <c r="A6" s="84" t="s">
        <v>18</v>
      </c>
      <c r="B6" s="87" t="s">
        <v>19</v>
      </c>
      <c r="C6" s="16" t="s">
        <v>20</v>
      </c>
      <c r="D6" s="16" t="s">
        <v>21</v>
      </c>
      <c r="E6" s="16">
        <v>4</v>
      </c>
      <c r="F6" s="16">
        <v>4</v>
      </c>
      <c r="G6" s="16">
        <v>4</v>
      </c>
      <c r="H6" s="16"/>
      <c r="I6" s="4"/>
      <c r="J6" s="16"/>
      <c r="K6" s="16"/>
      <c r="L6" s="16"/>
      <c r="M6" s="60">
        <f>SUM(G6:L11)</f>
        <v>24</v>
      </c>
      <c r="N6" s="80">
        <v>8</v>
      </c>
    </row>
    <row r="7" spans="1:14" ht="17.25" customHeight="1" x14ac:dyDescent="0.15">
      <c r="A7" s="85"/>
      <c r="B7" s="64"/>
      <c r="C7" s="14" t="s">
        <v>22</v>
      </c>
      <c r="D7" s="14" t="s">
        <v>21</v>
      </c>
      <c r="E7" s="14">
        <v>4</v>
      </c>
      <c r="F7" s="14">
        <v>4</v>
      </c>
      <c r="G7" s="14"/>
      <c r="H7" s="14">
        <v>4</v>
      </c>
      <c r="I7" s="14"/>
      <c r="J7" s="14"/>
      <c r="K7" s="14"/>
      <c r="L7" s="14"/>
      <c r="M7" s="61"/>
      <c r="N7" s="68"/>
    </row>
    <row r="8" spans="1:14" ht="17.25" customHeight="1" x14ac:dyDescent="0.15">
      <c r="A8" s="85"/>
      <c r="B8" s="64"/>
      <c r="C8" s="14" t="s">
        <v>23</v>
      </c>
      <c r="D8" s="14" t="s">
        <v>24</v>
      </c>
      <c r="E8" s="14">
        <v>4</v>
      </c>
      <c r="F8" s="14">
        <v>4</v>
      </c>
      <c r="G8" s="14"/>
      <c r="H8" s="14"/>
      <c r="I8" s="14">
        <v>4</v>
      </c>
      <c r="J8" s="14"/>
      <c r="K8" s="14"/>
      <c r="L8" s="14"/>
      <c r="M8" s="61"/>
      <c r="N8" s="68"/>
    </row>
    <row r="9" spans="1:14" ht="17.25" customHeight="1" x14ac:dyDescent="0.15">
      <c r="A9" s="85"/>
      <c r="B9" s="64"/>
      <c r="C9" s="14" t="s">
        <v>25</v>
      </c>
      <c r="D9" s="14" t="s">
        <v>24</v>
      </c>
      <c r="E9" s="14">
        <v>4</v>
      </c>
      <c r="F9" s="14">
        <v>4</v>
      </c>
      <c r="G9" s="14"/>
      <c r="H9" s="14"/>
      <c r="I9" s="14"/>
      <c r="J9" s="14">
        <v>4</v>
      </c>
      <c r="K9" s="14"/>
      <c r="L9" s="14"/>
      <c r="M9" s="61"/>
      <c r="N9" s="68"/>
    </row>
    <row r="10" spans="1:14" ht="17.25" customHeight="1" x14ac:dyDescent="0.15">
      <c r="A10" s="85"/>
      <c r="B10" s="64"/>
      <c r="C10" s="14" t="s">
        <v>26</v>
      </c>
      <c r="D10" s="14" t="s">
        <v>24</v>
      </c>
      <c r="E10" s="14">
        <v>4</v>
      </c>
      <c r="F10" s="14">
        <v>5</v>
      </c>
      <c r="G10" s="14"/>
      <c r="H10" s="14"/>
      <c r="I10" s="14"/>
      <c r="J10" s="14"/>
      <c r="K10" s="14">
        <v>5</v>
      </c>
      <c r="L10" s="14"/>
      <c r="M10" s="61"/>
      <c r="N10" s="68"/>
    </row>
    <row r="11" spans="1:14" ht="17.25" customHeight="1" x14ac:dyDescent="0.15">
      <c r="A11" s="85"/>
      <c r="B11" s="62"/>
      <c r="C11" s="20" t="s">
        <v>67</v>
      </c>
      <c r="D11" s="20" t="s">
        <v>71</v>
      </c>
      <c r="E11" s="20">
        <v>4</v>
      </c>
      <c r="F11" s="20">
        <v>3</v>
      </c>
      <c r="G11" s="20"/>
      <c r="H11" s="20"/>
      <c r="I11" s="20">
        <v>3</v>
      </c>
      <c r="J11" s="20"/>
      <c r="K11" s="20"/>
      <c r="L11" s="20"/>
      <c r="M11" s="62"/>
      <c r="N11" s="81"/>
    </row>
    <row r="12" spans="1:14" ht="17.25" customHeight="1" x14ac:dyDescent="0.15">
      <c r="A12" s="85"/>
      <c r="B12" s="63" t="s">
        <v>27</v>
      </c>
      <c r="C12" s="14" t="s">
        <v>28</v>
      </c>
      <c r="D12" s="14" t="s">
        <v>21</v>
      </c>
      <c r="E12" s="14">
        <v>4</v>
      </c>
      <c r="F12" s="14">
        <v>4</v>
      </c>
      <c r="G12" s="14">
        <v>4</v>
      </c>
      <c r="H12" s="14"/>
      <c r="I12" s="14"/>
      <c r="J12" s="14"/>
      <c r="K12" s="14"/>
      <c r="L12" s="14"/>
      <c r="M12" s="69">
        <f>SUM(G12:L17)</f>
        <v>24</v>
      </c>
      <c r="N12" s="67">
        <v>8</v>
      </c>
    </row>
    <row r="13" spans="1:14" ht="17.25" customHeight="1" x14ac:dyDescent="0.15">
      <c r="A13" s="85"/>
      <c r="B13" s="64"/>
      <c r="C13" s="14" t="s">
        <v>29</v>
      </c>
      <c r="D13" s="14" t="s">
        <v>21</v>
      </c>
      <c r="E13" s="14">
        <v>4</v>
      </c>
      <c r="F13" s="14">
        <v>4</v>
      </c>
      <c r="G13" s="14"/>
      <c r="H13" s="14">
        <v>4</v>
      </c>
      <c r="I13" s="5"/>
      <c r="J13" s="14"/>
      <c r="K13" s="14"/>
      <c r="L13" s="14"/>
      <c r="M13" s="70"/>
      <c r="N13" s="68"/>
    </row>
    <row r="14" spans="1:14" ht="17.25" customHeight="1" x14ac:dyDescent="0.15">
      <c r="A14" s="85"/>
      <c r="B14" s="64"/>
      <c r="C14" s="14" t="s">
        <v>30</v>
      </c>
      <c r="D14" s="14" t="s">
        <v>24</v>
      </c>
      <c r="E14" s="14">
        <v>4</v>
      </c>
      <c r="F14" s="14">
        <v>4</v>
      </c>
      <c r="G14" s="14"/>
      <c r="H14" s="14"/>
      <c r="I14" s="5">
        <v>4</v>
      </c>
      <c r="J14" s="14"/>
      <c r="K14" s="14"/>
      <c r="L14" s="14"/>
      <c r="M14" s="70"/>
      <c r="N14" s="68"/>
    </row>
    <row r="15" spans="1:14" ht="17.25" customHeight="1" x14ac:dyDescent="0.15">
      <c r="A15" s="85"/>
      <c r="B15" s="64"/>
      <c r="C15" s="14" t="s">
        <v>31</v>
      </c>
      <c r="D15" s="14" t="s">
        <v>24</v>
      </c>
      <c r="E15" s="14">
        <v>4</v>
      </c>
      <c r="F15" s="14">
        <v>4</v>
      </c>
      <c r="G15" s="14"/>
      <c r="H15" s="14"/>
      <c r="I15" s="14"/>
      <c r="J15" s="14">
        <v>4</v>
      </c>
      <c r="K15" s="14"/>
      <c r="L15" s="14"/>
      <c r="M15" s="70"/>
      <c r="N15" s="68"/>
    </row>
    <row r="16" spans="1:14" ht="17.25" customHeight="1" x14ac:dyDescent="0.15">
      <c r="A16" s="85"/>
      <c r="B16" s="64"/>
      <c r="C16" s="14" t="s">
        <v>32</v>
      </c>
      <c r="D16" s="14" t="s">
        <v>24</v>
      </c>
      <c r="E16" s="14">
        <v>4</v>
      </c>
      <c r="F16" s="14">
        <v>4</v>
      </c>
      <c r="G16" s="14"/>
      <c r="H16" s="14"/>
      <c r="I16" s="14"/>
      <c r="J16" s="14"/>
      <c r="K16" s="14">
        <v>4</v>
      </c>
      <c r="L16" s="14"/>
      <c r="M16" s="61"/>
      <c r="N16" s="68"/>
    </row>
    <row r="17" spans="1:14" ht="17.25" customHeight="1" x14ac:dyDescent="0.15">
      <c r="A17" s="85"/>
      <c r="B17" s="82"/>
      <c r="C17" s="20" t="s">
        <v>72</v>
      </c>
      <c r="D17" s="20" t="s">
        <v>73</v>
      </c>
      <c r="E17" s="20">
        <v>4</v>
      </c>
      <c r="F17" s="20">
        <v>4</v>
      </c>
      <c r="G17" s="20"/>
      <c r="H17" s="20"/>
      <c r="I17" s="20"/>
      <c r="J17" s="20"/>
      <c r="K17" s="20"/>
      <c r="L17" s="20">
        <v>4</v>
      </c>
      <c r="M17" s="82"/>
      <c r="N17" s="83"/>
    </row>
    <row r="18" spans="1:14" ht="17.25" customHeight="1" x14ac:dyDescent="0.15">
      <c r="A18" s="85"/>
      <c r="B18" s="86" t="s">
        <v>33</v>
      </c>
      <c r="C18" s="14" t="s">
        <v>34</v>
      </c>
      <c r="D18" s="14" t="s">
        <v>21</v>
      </c>
      <c r="E18" s="14">
        <v>4</v>
      </c>
      <c r="F18" s="14">
        <v>4</v>
      </c>
      <c r="G18" s="14">
        <v>4</v>
      </c>
      <c r="H18" s="14"/>
      <c r="I18" s="14"/>
      <c r="J18" s="14"/>
      <c r="K18" s="14"/>
      <c r="L18" s="14"/>
      <c r="M18" s="66">
        <f>SUM(G18:L22)</f>
        <v>20</v>
      </c>
      <c r="N18" s="77">
        <v>8</v>
      </c>
    </row>
    <row r="19" spans="1:14" ht="17.25" customHeight="1" x14ac:dyDescent="0.15">
      <c r="A19" s="85"/>
      <c r="B19" s="86"/>
      <c r="C19" s="14" t="s">
        <v>35</v>
      </c>
      <c r="D19" s="14" t="s">
        <v>21</v>
      </c>
      <c r="E19" s="14">
        <v>4</v>
      </c>
      <c r="F19" s="14">
        <v>4</v>
      </c>
      <c r="G19" s="14"/>
      <c r="H19" s="14">
        <v>4</v>
      </c>
      <c r="I19" s="14"/>
      <c r="J19" s="14"/>
      <c r="K19" s="14"/>
      <c r="L19" s="14"/>
      <c r="M19" s="66"/>
      <c r="N19" s="77"/>
    </row>
    <row r="20" spans="1:14" ht="17.25" customHeight="1" x14ac:dyDescent="0.15">
      <c r="A20" s="85"/>
      <c r="B20" s="86"/>
      <c r="C20" s="14" t="s">
        <v>36</v>
      </c>
      <c r="D20" s="14" t="s">
        <v>24</v>
      </c>
      <c r="E20" s="14">
        <v>4</v>
      </c>
      <c r="F20" s="14">
        <v>4</v>
      </c>
      <c r="G20" s="14"/>
      <c r="H20" s="14"/>
      <c r="I20" s="14">
        <v>4</v>
      </c>
      <c r="J20" s="14"/>
      <c r="K20" s="14"/>
      <c r="L20" s="14"/>
      <c r="M20" s="66"/>
      <c r="N20" s="77"/>
    </row>
    <row r="21" spans="1:14" ht="17.25" customHeight="1" x14ac:dyDescent="0.15">
      <c r="A21" s="85"/>
      <c r="B21" s="86"/>
      <c r="C21" s="14" t="s">
        <v>37</v>
      </c>
      <c r="D21" s="14" t="s">
        <v>24</v>
      </c>
      <c r="E21" s="14">
        <v>4</v>
      </c>
      <c r="F21" s="14">
        <v>4</v>
      </c>
      <c r="G21" s="14"/>
      <c r="H21" s="14"/>
      <c r="I21" s="13"/>
      <c r="J21" s="14">
        <v>4</v>
      </c>
      <c r="K21" s="14"/>
      <c r="L21" s="14"/>
      <c r="M21" s="66"/>
      <c r="N21" s="77"/>
    </row>
    <row r="22" spans="1:14" ht="17.25" customHeight="1" x14ac:dyDescent="0.15">
      <c r="A22" s="85"/>
      <c r="B22" s="86"/>
      <c r="C22" s="14" t="s">
        <v>38</v>
      </c>
      <c r="D22" s="14" t="s">
        <v>24</v>
      </c>
      <c r="E22" s="14">
        <v>4</v>
      </c>
      <c r="F22" s="14">
        <v>4</v>
      </c>
      <c r="G22" s="14"/>
      <c r="H22" s="14"/>
      <c r="I22" s="13"/>
      <c r="J22" s="14"/>
      <c r="K22" s="14">
        <v>4</v>
      </c>
      <c r="L22" s="14"/>
      <c r="M22" s="66"/>
      <c r="N22" s="77"/>
    </row>
    <row r="23" spans="1:14" ht="17.25" customHeight="1" x14ac:dyDescent="0.15">
      <c r="A23" s="85"/>
      <c r="B23" s="63" t="s">
        <v>39</v>
      </c>
      <c r="C23" s="14" t="s">
        <v>40</v>
      </c>
      <c r="D23" s="14" t="s">
        <v>21</v>
      </c>
      <c r="E23" s="14">
        <v>3</v>
      </c>
      <c r="F23" s="14">
        <v>3</v>
      </c>
      <c r="G23" s="14">
        <v>3</v>
      </c>
      <c r="H23" s="14"/>
      <c r="I23" s="14"/>
      <c r="J23" s="3"/>
      <c r="K23" s="14"/>
      <c r="L23" s="14"/>
      <c r="M23" s="65">
        <v>6</v>
      </c>
      <c r="N23" s="67">
        <v>6</v>
      </c>
    </row>
    <row r="24" spans="1:14" ht="17.25" customHeight="1" x14ac:dyDescent="0.15">
      <c r="A24" s="85"/>
      <c r="B24" s="64"/>
      <c r="C24" s="14" t="s">
        <v>41</v>
      </c>
      <c r="D24" s="14" t="s">
        <v>21</v>
      </c>
      <c r="E24" s="14">
        <v>3</v>
      </c>
      <c r="F24" s="14">
        <v>3</v>
      </c>
      <c r="G24" s="14"/>
      <c r="H24" s="14">
        <v>3</v>
      </c>
      <c r="I24" s="14"/>
      <c r="J24" s="3"/>
      <c r="K24" s="14"/>
      <c r="L24" s="14"/>
      <c r="M24" s="78"/>
      <c r="N24" s="79"/>
    </row>
    <row r="25" spans="1:14" ht="17.25" customHeight="1" x14ac:dyDescent="0.15">
      <c r="A25" s="85"/>
      <c r="B25" s="64"/>
      <c r="C25" s="14" t="s">
        <v>42</v>
      </c>
      <c r="D25" s="14" t="s">
        <v>21</v>
      </c>
      <c r="E25" s="14">
        <v>4</v>
      </c>
      <c r="F25" s="14">
        <v>3</v>
      </c>
      <c r="G25" s="14">
        <v>3</v>
      </c>
      <c r="H25" s="14"/>
      <c r="I25" s="14"/>
      <c r="J25" s="14"/>
      <c r="K25" s="3"/>
      <c r="L25" s="3"/>
      <c r="M25" s="65">
        <f>SUM(G25:L26)</f>
        <v>7</v>
      </c>
      <c r="N25" s="67">
        <v>8</v>
      </c>
    </row>
    <row r="26" spans="1:14" ht="17.25" customHeight="1" x14ac:dyDescent="0.15">
      <c r="A26" s="85"/>
      <c r="B26" s="64"/>
      <c r="C26" s="14" t="s">
        <v>43</v>
      </c>
      <c r="D26" s="14" t="s">
        <v>21</v>
      </c>
      <c r="E26" s="14">
        <v>4</v>
      </c>
      <c r="F26" s="14">
        <v>4</v>
      </c>
      <c r="G26" s="14"/>
      <c r="H26" s="14">
        <v>4</v>
      </c>
      <c r="I26" s="14"/>
      <c r="J26" s="14"/>
      <c r="K26" s="3"/>
      <c r="L26" s="3"/>
      <c r="M26" s="61"/>
      <c r="N26" s="68"/>
    </row>
    <row r="27" spans="1:14" ht="17.25" customHeight="1" x14ac:dyDescent="0.15">
      <c r="A27" s="85"/>
      <c r="B27" s="63" t="s">
        <v>44</v>
      </c>
      <c r="C27" s="14" t="s">
        <v>45</v>
      </c>
      <c r="D27" s="14" t="s">
        <v>21</v>
      </c>
      <c r="E27" s="14">
        <v>4</v>
      </c>
      <c r="F27" s="14">
        <v>3</v>
      </c>
      <c r="G27" s="14">
        <v>3</v>
      </c>
      <c r="H27" s="14"/>
      <c r="I27" s="14"/>
      <c r="J27" s="14"/>
      <c r="K27" s="3"/>
      <c r="L27" s="3"/>
      <c r="M27" s="69">
        <f>SUM(G27:L30)</f>
        <v>9</v>
      </c>
      <c r="N27" s="67">
        <v>10</v>
      </c>
    </row>
    <row r="28" spans="1:14" ht="17.25" customHeight="1" x14ac:dyDescent="0.15">
      <c r="A28" s="85"/>
      <c r="B28" s="64"/>
      <c r="C28" s="14" t="s">
        <v>46</v>
      </c>
      <c r="D28" s="14" t="s">
        <v>21</v>
      </c>
      <c r="E28" s="14">
        <v>4</v>
      </c>
      <c r="F28" s="14">
        <v>4</v>
      </c>
      <c r="G28" s="14"/>
      <c r="H28" s="14">
        <v>4</v>
      </c>
      <c r="I28" s="14"/>
      <c r="J28" s="14"/>
      <c r="K28" s="3"/>
      <c r="L28" s="3"/>
      <c r="M28" s="70"/>
      <c r="N28" s="68"/>
    </row>
    <row r="29" spans="1:14" ht="17.25" customHeight="1" x14ac:dyDescent="0.15">
      <c r="A29" s="85"/>
      <c r="B29" s="64"/>
      <c r="C29" s="14" t="s">
        <v>47</v>
      </c>
      <c r="D29" s="14" t="s">
        <v>21</v>
      </c>
      <c r="E29" s="14">
        <v>1</v>
      </c>
      <c r="F29" s="14">
        <v>1</v>
      </c>
      <c r="G29" s="14">
        <v>1</v>
      </c>
      <c r="H29" s="14"/>
      <c r="I29" s="14"/>
      <c r="J29" s="14"/>
      <c r="K29" s="3"/>
      <c r="L29" s="3"/>
      <c r="M29" s="70"/>
      <c r="N29" s="68"/>
    </row>
    <row r="30" spans="1:14" ht="17.25" customHeight="1" x14ac:dyDescent="0.15">
      <c r="A30" s="85"/>
      <c r="B30" s="64"/>
      <c r="C30" s="14" t="s">
        <v>48</v>
      </c>
      <c r="D30" s="14" t="s">
        <v>21</v>
      </c>
      <c r="E30" s="14">
        <v>1</v>
      </c>
      <c r="F30" s="14">
        <v>1</v>
      </c>
      <c r="G30" s="14"/>
      <c r="H30" s="14">
        <v>1</v>
      </c>
      <c r="I30" s="14"/>
      <c r="J30" s="14"/>
      <c r="K30" s="14"/>
      <c r="L30" s="14"/>
      <c r="M30" s="61"/>
      <c r="N30" s="68"/>
    </row>
    <row r="31" spans="1:14" ht="17.25" customHeight="1" x14ac:dyDescent="0.15">
      <c r="A31" s="85"/>
      <c r="B31" s="86" t="s">
        <v>49</v>
      </c>
      <c r="C31" s="14" t="s">
        <v>53</v>
      </c>
      <c r="D31" s="14" t="s">
        <v>24</v>
      </c>
      <c r="E31" s="14">
        <v>3</v>
      </c>
      <c r="F31" s="14">
        <v>2</v>
      </c>
      <c r="G31" s="14">
        <v>2</v>
      </c>
      <c r="H31" s="14"/>
      <c r="I31" s="14"/>
      <c r="J31" s="14"/>
      <c r="K31" s="14"/>
      <c r="L31" s="14"/>
      <c r="M31" s="66">
        <f>SUM(G31:L36)</f>
        <v>10</v>
      </c>
      <c r="N31" s="77">
        <v>10</v>
      </c>
    </row>
    <row r="32" spans="1:14" ht="17.25" customHeight="1" x14ac:dyDescent="0.15">
      <c r="A32" s="85"/>
      <c r="B32" s="86"/>
      <c r="C32" s="14" t="s">
        <v>54</v>
      </c>
      <c r="D32" s="14" t="s">
        <v>24</v>
      </c>
      <c r="E32" s="14">
        <v>3</v>
      </c>
      <c r="F32" s="14">
        <v>2</v>
      </c>
      <c r="G32" s="14"/>
      <c r="H32" s="14">
        <v>2</v>
      </c>
      <c r="I32" s="14"/>
      <c r="J32" s="14"/>
      <c r="K32" s="14"/>
      <c r="L32" s="14"/>
      <c r="M32" s="66"/>
      <c r="N32" s="77"/>
    </row>
    <row r="33" spans="1:14" ht="17.25" customHeight="1" x14ac:dyDescent="0.15">
      <c r="A33" s="85"/>
      <c r="B33" s="86"/>
      <c r="C33" s="14" t="s">
        <v>70</v>
      </c>
      <c r="D33" s="14" t="s">
        <v>51</v>
      </c>
      <c r="E33" s="14">
        <v>3</v>
      </c>
      <c r="F33" s="14">
        <v>2</v>
      </c>
      <c r="G33" s="14"/>
      <c r="H33" s="14"/>
      <c r="I33" s="14">
        <v>2</v>
      </c>
      <c r="J33" s="14"/>
      <c r="K33" s="14"/>
      <c r="L33" s="14"/>
      <c r="M33" s="66"/>
      <c r="N33" s="77"/>
    </row>
    <row r="34" spans="1:14" ht="17.25" customHeight="1" x14ac:dyDescent="0.15">
      <c r="A34" s="85"/>
      <c r="B34" s="86"/>
      <c r="C34" s="14" t="s">
        <v>50</v>
      </c>
      <c r="D34" s="14" t="s">
        <v>51</v>
      </c>
      <c r="E34" s="14">
        <v>2</v>
      </c>
      <c r="F34" s="14">
        <v>1</v>
      </c>
      <c r="G34" s="14"/>
      <c r="H34" s="14"/>
      <c r="I34" s="14"/>
      <c r="J34" s="14">
        <v>1</v>
      </c>
      <c r="K34" s="14"/>
      <c r="L34" s="14"/>
      <c r="M34" s="66"/>
      <c r="N34" s="77"/>
    </row>
    <row r="35" spans="1:14" ht="17.25" customHeight="1" x14ac:dyDescent="0.15">
      <c r="A35" s="85"/>
      <c r="B35" s="86"/>
      <c r="C35" s="14" t="s">
        <v>52</v>
      </c>
      <c r="D35" s="14" t="s">
        <v>56</v>
      </c>
      <c r="E35" s="14">
        <v>2</v>
      </c>
      <c r="F35" s="14">
        <v>1</v>
      </c>
      <c r="G35" s="14"/>
      <c r="H35" s="14"/>
      <c r="I35" s="14"/>
      <c r="J35" s="14"/>
      <c r="K35" s="14">
        <v>1</v>
      </c>
      <c r="L35" s="14"/>
      <c r="M35" s="66"/>
      <c r="N35" s="77"/>
    </row>
    <row r="36" spans="1:14" ht="17.25" customHeight="1" x14ac:dyDescent="0.15">
      <c r="A36" s="85"/>
      <c r="B36" s="86"/>
      <c r="C36" s="14" t="s">
        <v>55</v>
      </c>
      <c r="D36" s="14" t="s">
        <v>56</v>
      </c>
      <c r="E36" s="14">
        <v>3</v>
      </c>
      <c r="F36" s="14">
        <v>2</v>
      </c>
      <c r="G36" s="14"/>
      <c r="H36" s="14"/>
      <c r="I36" s="14"/>
      <c r="J36" s="14"/>
      <c r="K36" s="14"/>
      <c r="L36" s="14">
        <v>2</v>
      </c>
      <c r="M36" s="66"/>
      <c r="N36" s="77"/>
    </row>
    <row r="37" spans="1:14" ht="17.25" customHeight="1" x14ac:dyDescent="0.15">
      <c r="A37" s="85"/>
      <c r="B37" s="88" t="s">
        <v>57</v>
      </c>
      <c r="C37" s="14" t="s">
        <v>58</v>
      </c>
      <c r="D37" s="14" t="s">
        <v>24</v>
      </c>
      <c r="E37" s="14">
        <v>3</v>
      </c>
      <c r="F37" s="14">
        <v>3</v>
      </c>
      <c r="G37" s="14">
        <v>3</v>
      </c>
      <c r="H37" s="10"/>
      <c r="I37" s="14"/>
      <c r="J37" s="14"/>
      <c r="K37" s="14"/>
      <c r="L37" s="14"/>
      <c r="M37" s="69">
        <f>SUM(G37:L40)</f>
        <v>14</v>
      </c>
      <c r="N37" s="71">
        <v>10</v>
      </c>
    </row>
    <row r="38" spans="1:14" ht="17.25" customHeight="1" x14ac:dyDescent="0.15">
      <c r="A38" s="85"/>
      <c r="B38" s="89"/>
      <c r="C38" s="14" t="s">
        <v>59</v>
      </c>
      <c r="D38" s="14" t="s">
        <v>24</v>
      </c>
      <c r="E38" s="14">
        <v>3</v>
      </c>
      <c r="F38" s="14">
        <v>3</v>
      </c>
      <c r="G38" s="10"/>
      <c r="H38" s="14">
        <v>3</v>
      </c>
      <c r="I38" s="14"/>
      <c r="J38" s="14"/>
      <c r="K38" s="14"/>
      <c r="L38" s="14"/>
      <c r="M38" s="70"/>
      <c r="N38" s="72"/>
    </row>
    <row r="39" spans="1:14" ht="17.25" customHeight="1" x14ac:dyDescent="0.15">
      <c r="A39" s="85"/>
      <c r="B39" s="75"/>
      <c r="C39" s="20" t="s">
        <v>69</v>
      </c>
      <c r="D39" s="20" t="s">
        <v>71</v>
      </c>
      <c r="E39" s="20">
        <v>3</v>
      </c>
      <c r="F39" s="20">
        <v>4</v>
      </c>
      <c r="G39" s="10"/>
      <c r="H39" s="20"/>
      <c r="I39" s="20"/>
      <c r="J39" s="20"/>
      <c r="K39" s="20"/>
      <c r="L39" s="20">
        <v>4</v>
      </c>
      <c r="M39" s="75"/>
      <c r="N39" s="73"/>
    </row>
    <row r="40" spans="1:14" ht="17.25" customHeight="1" x14ac:dyDescent="0.15">
      <c r="A40" s="85"/>
      <c r="B40" s="76"/>
      <c r="C40" s="20" t="s">
        <v>75</v>
      </c>
      <c r="D40" s="20" t="s">
        <v>71</v>
      </c>
      <c r="E40" s="20">
        <v>3</v>
      </c>
      <c r="F40" s="20">
        <v>3</v>
      </c>
      <c r="G40" s="10"/>
      <c r="H40" s="20"/>
      <c r="I40" s="20"/>
      <c r="J40" s="20"/>
      <c r="K40" s="20"/>
      <c r="L40" s="20">
        <v>4</v>
      </c>
      <c r="M40" s="76"/>
      <c r="N40" s="74"/>
    </row>
    <row r="41" spans="1:14" ht="17.25" customHeight="1" x14ac:dyDescent="0.15">
      <c r="A41" s="85"/>
      <c r="B41" s="19" t="s">
        <v>60</v>
      </c>
      <c r="C41" s="13" t="s">
        <v>61</v>
      </c>
      <c r="D41" s="14" t="s">
        <v>24</v>
      </c>
      <c r="E41" s="14">
        <v>4</v>
      </c>
      <c r="F41" s="14">
        <v>3</v>
      </c>
      <c r="G41" s="14">
        <v>3</v>
      </c>
      <c r="H41" s="14"/>
      <c r="I41" s="14"/>
      <c r="J41" s="14"/>
      <c r="K41" s="14"/>
      <c r="L41" s="14"/>
      <c r="M41" s="114">
        <f>SUM(G41:L42)</f>
        <v>5</v>
      </c>
      <c r="N41" s="71">
        <v>16</v>
      </c>
    </row>
    <row r="42" spans="1:14" ht="17.25" customHeight="1" thickBot="1" x14ac:dyDescent="0.2">
      <c r="A42" s="85"/>
      <c r="B42" s="23" t="s">
        <v>62</v>
      </c>
      <c r="C42" s="29" t="s">
        <v>63</v>
      </c>
      <c r="D42" s="32" t="s">
        <v>24</v>
      </c>
      <c r="E42" s="32">
        <v>3</v>
      </c>
      <c r="F42" s="32">
        <v>2</v>
      </c>
      <c r="G42" s="32"/>
      <c r="H42" s="36"/>
      <c r="I42" s="32"/>
      <c r="J42" s="32"/>
      <c r="K42" s="32">
        <v>2</v>
      </c>
      <c r="L42" s="32"/>
      <c r="M42" s="69"/>
      <c r="N42" s="72"/>
    </row>
    <row r="43" spans="1:14" ht="17.25" customHeight="1" thickBot="1" x14ac:dyDescent="0.2">
      <c r="A43" s="37"/>
      <c r="B43" s="115" t="s">
        <v>11</v>
      </c>
      <c r="C43" s="116"/>
      <c r="D43" s="116"/>
      <c r="E43" s="116"/>
      <c r="F43" s="117"/>
      <c r="G43" s="38">
        <f>SUM(G6:G42)</f>
        <v>30</v>
      </c>
      <c r="H43" s="38">
        <f>SUM(H6:H42)</f>
        <v>29</v>
      </c>
      <c r="I43" s="38">
        <f t="shared" ref="I43:L43" si="0">SUM(I6:I42)</f>
        <v>17</v>
      </c>
      <c r="J43" s="38">
        <f t="shared" si="0"/>
        <v>13</v>
      </c>
      <c r="K43" s="38">
        <f t="shared" si="0"/>
        <v>16</v>
      </c>
      <c r="L43" s="38">
        <f t="shared" si="0"/>
        <v>14</v>
      </c>
      <c r="M43" s="38">
        <f>SUM(M6:M42)</f>
        <v>119</v>
      </c>
      <c r="N43" s="39">
        <f>SUM(N6:N42)</f>
        <v>84</v>
      </c>
    </row>
    <row r="44" spans="1:14" ht="17.25" customHeight="1" x14ac:dyDescent="0.15">
      <c r="A44" s="96" t="s">
        <v>64</v>
      </c>
      <c r="B44" s="99" t="s">
        <v>65</v>
      </c>
      <c r="C44" s="34" t="s">
        <v>66</v>
      </c>
      <c r="D44" s="34" t="s">
        <v>24</v>
      </c>
      <c r="E44" s="34">
        <v>4</v>
      </c>
      <c r="F44" s="17">
        <v>4</v>
      </c>
      <c r="G44" s="34"/>
      <c r="H44" s="34"/>
      <c r="I44" s="119" t="s">
        <v>91</v>
      </c>
      <c r="J44" s="34"/>
      <c r="K44" s="35"/>
      <c r="L44" s="34"/>
      <c r="M44" s="60">
        <v>13</v>
      </c>
      <c r="N44" s="102"/>
    </row>
    <row r="45" spans="1:14" ht="17.25" customHeight="1" x14ac:dyDescent="0.15">
      <c r="A45" s="97"/>
      <c r="B45" s="75"/>
      <c r="C45" s="34" t="s">
        <v>111</v>
      </c>
      <c r="D45" s="34" t="s">
        <v>106</v>
      </c>
      <c r="E45" s="34">
        <v>4</v>
      </c>
      <c r="F45" s="17">
        <v>4</v>
      </c>
      <c r="G45" s="34"/>
      <c r="H45" s="34"/>
      <c r="I45" s="62"/>
      <c r="J45" s="34"/>
      <c r="K45" s="33"/>
      <c r="L45" s="34"/>
      <c r="M45" s="61"/>
      <c r="N45" s="72"/>
    </row>
    <row r="46" spans="1:14" ht="17.25" customHeight="1" x14ac:dyDescent="0.15">
      <c r="A46" s="97"/>
      <c r="B46" s="86" t="s">
        <v>79</v>
      </c>
      <c r="C46" s="43" t="s">
        <v>105</v>
      </c>
      <c r="D46" s="34" t="s">
        <v>106</v>
      </c>
      <c r="E46" s="34">
        <v>4</v>
      </c>
      <c r="F46" s="17">
        <v>4</v>
      </c>
      <c r="G46" s="34"/>
      <c r="H46" s="34"/>
      <c r="I46" s="120" t="s">
        <v>125</v>
      </c>
      <c r="J46" s="34"/>
      <c r="K46" s="35"/>
      <c r="L46" s="34"/>
      <c r="M46" s="61"/>
      <c r="N46" s="72"/>
    </row>
    <row r="47" spans="1:14" ht="17.25" customHeight="1" x14ac:dyDescent="0.15">
      <c r="A47" s="97"/>
      <c r="B47" s="98"/>
      <c r="C47" s="43" t="s">
        <v>110</v>
      </c>
      <c r="D47" s="15" t="s">
        <v>74</v>
      </c>
      <c r="E47" s="15">
        <v>4</v>
      </c>
      <c r="F47" s="17">
        <v>4</v>
      </c>
      <c r="G47" s="15"/>
      <c r="H47" s="15"/>
      <c r="I47" s="113"/>
      <c r="J47" s="15"/>
      <c r="K47" s="27"/>
      <c r="L47" s="15"/>
      <c r="M47" s="62"/>
      <c r="N47" s="72"/>
    </row>
    <row r="48" spans="1:14" ht="17.25" customHeight="1" x14ac:dyDescent="0.15">
      <c r="A48" s="97"/>
      <c r="B48" s="21" t="s">
        <v>83</v>
      </c>
      <c r="C48" s="43" t="s">
        <v>80</v>
      </c>
      <c r="D48" s="15" t="s">
        <v>74</v>
      </c>
      <c r="E48" s="15">
        <v>4</v>
      </c>
      <c r="F48" s="17">
        <v>3</v>
      </c>
      <c r="G48" s="15"/>
      <c r="H48" s="15"/>
      <c r="I48" s="69" t="s">
        <v>92</v>
      </c>
      <c r="J48" s="15"/>
      <c r="K48" s="26"/>
      <c r="L48" s="15"/>
      <c r="M48" s="62"/>
      <c r="N48" s="72"/>
    </row>
    <row r="49" spans="1:14" ht="17.25" customHeight="1" x14ac:dyDescent="0.15">
      <c r="A49" s="97"/>
      <c r="B49" s="24" t="s">
        <v>82</v>
      </c>
      <c r="C49" s="43" t="s">
        <v>81</v>
      </c>
      <c r="D49" s="15" t="s">
        <v>71</v>
      </c>
      <c r="E49" s="15">
        <v>4</v>
      </c>
      <c r="F49" s="17">
        <v>3</v>
      </c>
      <c r="G49" s="15"/>
      <c r="H49" s="15"/>
      <c r="I49" s="82"/>
      <c r="J49" s="15"/>
      <c r="K49" s="15"/>
      <c r="L49" s="29"/>
      <c r="M49" s="62"/>
      <c r="N49" s="72"/>
    </row>
    <row r="50" spans="1:14" ht="17.25" customHeight="1" x14ac:dyDescent="0.15">
      <c r="A50" s="97"/>
      <c r="B50" s="88" t="s">
        <v>126</v>
      </c>
      <c r="C50" s="46" t="s">
        <v>127</v>
      </c>
      <c r="D50" s="46" t="s">
        <v>128</v>
      </c>
      <c r="E50" s="46">
        <v>3</v>
      </c>
      <c r="F50" s="17">
        <v>2</v>
      </c>
      <c r="G50" s="46"/>
      <c r="H50" s="46"/>
      <c r="I50" s="110" t="s">
        <v>129</v>
      </c>
      <c r="J50" s="45"/>
      <c r="K50" s="46"/>
      <c r="L50" s="44"/>
      <c r="M50" s="62"/>
      <c r="N50" s="72"/>
    </row>
    <row r="51" spans="1:14" ht="17.25" customHeight="1" x14ac:dyDescent="0.15">
      <c r="A51" s="97"/>
      <c r="B51" s="76"/>
      <c r="C51" s="46" t="s">
        <v>90</v>
      </c>
      <c r="D51" s="46" t="s">
        <v>128</v>
      </c>
      <c r="E51" s="46">
        <v>3</v>
      </c>
      <c r="F51" s="17">
        <v>2</v>
      </c>
      <c r="G51" s="46"/>
      <c r="H51" s="46"/>
      <c r="I51" s="111"/>
      <c r="J51" s="47"/>
      <c r="K51" s="46"/>
      <c r="L51" s="44"/>
      <c r="M51" s="82"/>
      <c r="N51" s="72"/>
    </row>
    <row r="52" spans="1:14" ht="17.25" customHeight="1" x14ac:dyDescent="0.15">
      <c r="A52" s="97"/>
      <c r="B52" s="24" t="s">
        <v>108</v>
      </c>
      <c r="C52" s="17" t="s">
        <v>68</v>
      </c>
      <c r="D52" s="34" t="s">
        <v>109</v>
      </c>
      <c r="E52" s="34">
        <v>4</v>
      </c>
      <c r="F52" s="17">
        <v>3</v>
      </c>
      <c r="G52" s="34"/>
      <c r="H52" s="34"/>
      <c r="I52" s="30"/>
      <c r="J52" s="69" t="s">
        <v>107</v>
      </c>
      <c r="K52" s="34"/>
      <c r="L52" s="31"/>
      <c r="M52" s="103">
        <v>16</v>
      </c>
      <c r="N52" s="72"/>
    </row>
    <row r="53" spans="1:14" ht="17.25" customHeight="1" x14ac:dyDescent="0.15">
      <c r="A53" s="97"/>
      <c r="B53" s="24" t="s">
        <v>77</v>
      </c>
      <c r="C53" s="42" t="s">
        <v>96</v>
      </c>
      <c r="D53" s="34" t="s">
        <v>56</v>
      </c>
      <c r="E53" s="34">
        <v>4</v>
      </c>
      <c r="F53" s="17">
        <v>3</v>
      </c>
      <c r="G53" s="34"/>
      <c r="H53" s="34"/>
      <c r="I53" s="30"/>
      <c r="J53" s="82"/>
      <c r="K53" s="34"/>
      <c r="L53" s="31"/>
      <c r="M53" s="104"/>
      <c r="N53" s="72"/>
    </row>
    <row r="54" spans="1:14" ht="17.25" customHeight="1" x14ac:dyDescent="0.15">
      <c r="A54" s="97"/>
      <c r="B54" s="121" t="s">
        <v>86</v>
      </c>
      <c r="C54" s="42" t="s">
        <v>114</v>
      </c>
      <c r="D54" s="34" t="s">
        <v>109</v>
      </c>
      <c r="E54" s="34">
        <v>4</v>
      </c>
      <c r="F54" s="17">
        <v>4</v>
      </c>
      <c r="G54" s="34"/>
      <c r="H54" s="34"/>
      <c r="I54" s="30"/>
      <c r="J54" s="106" t="s">
        <v>91</v>
      </c>
      <c r="K54" s="34"/>
      <c r="L54" s="31"/>
      <c r="M54" s="104"/>
      <c r="N54" s="72"/>
    </row>
    <row r="55" spans="1:14" ht="17.25" customHeight="1" x14ac:dyDescent="0.15">
      <c r="A55" s="97"/>
      <c r="B55" s="82"/>
      <c r="C55" s="28" t="s">
        <v>87</v>
      </c>
      <c r="D55" s="28" t="s">
        <v>74</v>
      </c>
      <c r="E55" s="28">
        <v>4</v>
      </c>
      <c r="F55" s="28">
        <v>4</v>
      </c>
      <c r="G55" s="22"/>
      <c r="H55" s="22"/>
      <c r="I55" s="20"/>
      <c r="J55" s="62"/>
      <c r="K55" s="22"/>
      <c r="L55" s="30"/>
      <c r="M55" s="104"/>
      <c r="N55" s="72"/>
    </row>
    <row r="56" spans="1:14" ht="17.25" customHeight="1" x14ac:dyDescent="0.15">
      <c r="A56" s="97"/>
      <c r="B56" s="122" t="s">
        <v>79</v>
      </c>
      <c r="C56" s="28" t="s">
        <v>113</v>
      </c>
      <c r="D56" s="28" t="s">
        <v>106</v>
      </c>
      <c r="E56" s="28">
        <v>4</v>
      </c>
      <c r="F56" s="28">
        <v>4</v>
      </c>
      <c r="G56" s="34"/>
      <c r="H56" s="34"/>
      <c r="I56" s="33"/>
      <c r="J56" s="112" t="s">
        <v>130</v>
      </c>
      <c r="K56" s="34"/>
      <c r="L56" s="30"/>
      <c r="M56" s="104"/>
      <c r="N56" s="72"/>
    </row>
    <row r="57" spans="1:14" ht="17.25" customHeight="1" x14ac:dyDescent="0.15">
      <c r="A57" s="97"/>
      <c r="B57" s="82"/>
      <c r="C57" s="28" t="s">
        <v>112</v>
      </c>
      <c r="D57" s="28" t="s">
        <v>74</v>
      </c>
      <c r="E57" s="28">
        <v>4</v>
      </c>
      <c r="F57" s="28">
        <v>4</v>
      </c>
      <c r="G57" s="15"/>
      <c r="H57" s="15"/>
      <c r="I57" s="20"/>
      <c r="J57" s="113"/>
      <c r="K57" s="15"/>
      <c r="L57" s="15"/>
      <c r="M57" s="104"/>
      <c r="N57" s="72"/>
    </row>
    <row r="58" spans="1:14" ht="17.25" customHeight="1" x14ac:dyDescent="0.15">
      <c r="A58" s="97"/>
      <c r="B58" s="21" t="s">
        <v>83</v>
      </c>
      <c r="C58" s="20" t="s">
        <v>84</v>
      </c>
      <c r="D58" s="20" t="s">
        <v>71</v>
      </c>
      <c r="E58" s="20">
        <v>4</v>
      </c>
      <c r="F58" s="19">
        <v>3</v>
      </c>
      <c r="G58" s="15"/>
      <c r="H58" s="15"/>
      <c r="I58" s="20"/>
      <c r="J58" s="69" t="s">
        <v>92</v>
      </c>
      <c r="K58" s="15"/>
      <c r="L58" s="15"/>
      <c r="M58" s="104"/>
      <c r="N58" s="72"/>
    </row>
    <row r="59" spans="1:14" ht="17.25" customHeight="1" x14ac:dyDescent="0.15">
      <c r="A59" s="97"/>
      <c r="B59" s="21" t="s">
        <v>82</v>
      </c>
      <c r="C59" s="20" t="s">
        <v>85</v>
      </c>
      <c r="D59" s="20" t="s">
        <v>71</v>
      </c>
      <c r="E59" s="20">
        <v>4</v>
      </c>
      <c r="F59" s="19">
        <v>3</v>
      </c>
      <c r="G59" s="15"/>
      <c r="H59" s="15"/>
      <c r="I59" s="20"/>
      <c r="J59" s="82"/>
      <c r="K59" s="15"/>
      <c r="L59" s="15"/>
      <c r="M59" s="104"/>
      <c r="N59" s="72"/>
    </row>
    <row r="60" spans="1:14" ht="17.25" customHeight="1" x14ac:dyDescent="0.15">
      <c r="A60" s="97"/>
      <c r="B60" s="86" t="s">
        <v>88</v>
      </c>
      <c r="C60" s="15" t="s">
        <v>89</v>
      </c>
      <c r="D60" s="15" t="s">
        <v>74</v>
      </c>
      <c r="E60" s="15">
        <v>3</v>
      </c>
      <c r="F60" s="17">
        <v>2</v>
      </c>
      <c r="G60" s="15"/>
      <c r="H60" s="15"/>
      <c r="I60" s="20"/>
      <c r="J60" s="114" t="s">
        <v>93</v>
      </c>
      <c r="K60" s="15"/>
      <c r="L60" s="15"/>
      <c r="M60" s="104"/>
      <c r="N60" s="72"/>
    </row>
    <row r="61" spans="1:14" ht="17.25" customHeight="1" x14ac:dyDescent="0.15">
      <c r="A61" s="97"/>
      <c r="B61" s="98"/>
      <c r="C61" s="15" t="s">
        <v>117</v>
      </c>
      <c r="D61" s="15" t="s">
        <v>56</v>
      </c>
      <c r="E61" s="15">
        <v>3</v>
      </c>
      <c r="F61" s="17">
        <v>2</v>
      </c>
      <c r="G61" s="15"/>
      <c r="H61" s="15"/>
      <c r="I61" s="20"/>
      <c r="J61" s="118"/>
      <c r="K61" s="15"/>
      <c r="L61" s="15"/>
      <c r="M61" s="105"/>
      <c r="N61" s="72"/>
    </row>
    <row r="62" spans="1:14" ht="17.25" customHeight="1" x14ac:dyDescent="0.15">
      <c r="A62" s="97"/>
      <c r="B62" s="24" t="s">
        <v>94</v>
      </c>
      <c r="C62" s="15" t="s">
        <v>95</v>
      </c>
      <c r="D62" s="15" t="s">
        <v>73</v>
      </c>
      <c r="E62" s="15">
        <v>4</v>
      </c>
      <c r="F62" s="17">
        <v>4</v>
      </c>
      <c r="G62" s="15"/>
      <c r="H62" s="15"/>
      <c r="I62" s="22"/>
      <c r="J62" s="25"/>
      <c r="K62" s="69" t="s">
        <v>91</v>
      </c>
      <c r="L62" s="15"/>
      <c r="M62" s="65">
        <v>14</v>
      </c>
      <c r="N62" s="72"/>
    </row>
    <row r="63" spans="1:14" ht="17.25" customHeight="1" x14ac:dyDescent="0.15">
      <c r="A63" s="97"/>
      <c r="B63" s="21" t="s">
        <v>78</v>
      </c>
      <c r="C63" s="15" t="s">
        <v>97</v>
      </c>
      <c r="D63" s="15" t="s">
        <v>71</v>
      </c>
      <c r="E63" s="15">
        <v>4</v>
      </c>
      <c r="F63" s="17">
        <v>4</v>
      </c>
      <c r="G63" s="15"/>
      <c r="H63" s="15"/>
      <c r="I63" s="9"/>
      <c r="J63" s="33"/>
      <c r="K63" s="82"/>
      <c r="L63" s="15"/>
      <c r="M63" s="62"/>
      <c r="N63" s="72"/>
    </row>
    <row r="64" spans="1:14" ht="17.25" customHeight="1" x14ac:dyDescent="0.15">
      <c r="A64" s="97"/>
      <c r="B64" s="88" t="s">
        <v>86</v>
      </c>
      <c r="C64" s="15" t="s">
        <v>98</v>
      </c>
      <c r="D64" s="15" t="s">
        <v>74</v>
      </c>
      <c r="E64" s="15">
        <v>4</v>
      </c>
      <c r="F64" s="17">
        <v>4</v>
      </c>
      <c r="G64" s="15"/>
      <c r="H64" s="15"/>
      <c r="I64" s="9"/>
      <c r="J64" s="33"/>
      <c r="K64" s="69" t="s">
        <v>91</v>
      </c>
      <c r="L64" s="15"/>
      <c r="M64" s="62"/>
      <c r="N64" s="72"/>
    </row>
    <row r="65" spans="1:18" ht="17.25" customHeight="1" x14ac:dyDescent="0.15">
      <c r="A65" s="97"/>
      <c r="B65" s="89"/>
      <c r="C65" s="34" t="s">
        <v>123</v>
      </c>
      <c r="D65" s="34" t="s">
        <v>109</v>
      </c>
      <c r="E65" s="34">
        <v>4</v>
      </c>
      <c r="F65" s="17">
        <v>4</v>
      </c>
      <c r="G65" s="34"/>
      <c r="H65" s="34"/>
      <c r="I65" s="9"/>
      <c r="J65" s="33"/>
      <c r="K65" s="70"/>
      <c r="L65" s="34"/>
      <c r="M65" s="62"/>
      <c r="N65" s="72"/>
    </row>
    <row r="66" spans="1:18" ht="17.25" customHeight="1" x14ac:dyDescent="0.15">
      <c r="A66" s="97"/>
      <c r="B66" s="75"/>
      <c r="C66" s="34" t="s">
        <v>119</v>
      </c>
      <c r="D66" s="34" t="s">
        <v>109</v>
      </c>
      <c r="E66" s="34">
        <v>4</v>
      </c>
      <c r="F66" s="17">
        <v>4</v>
      </c>
      <c r="G66" s="34"/>
      <c r="H66" s="34"/>
      <c r="I66" s="9"/>
      <c r="J66" s="33"/>
      <c r="K66" s="75"/>
      <c r="L66" s="34"/>
      <c r="M66" s="62"/>
      <c r="N66" s="72"/>
    </row>
    <row r="67" spans="1:18" ht="17.25" customHeight="1" x14ac:dyDescent="0.15">
      <c r="A67" s="97"/>
      <c r="B67" s="76"/>
      <c r="C67" s="15" t="s">
        <v>104</v>
      </c>
      <c r="D67" s="15" t="s">
        <v>56</v>
      </c>
      <c r="E67" s="15">
        <v>4</v>
      </c>
      <c r="F67" s="17">
        <v>4</v>
      </c>
      <c r="G67" s="15"/>
      <c r="H67" s="15"/>
      <c r="I67" s="9"/>
      <c r="J67" s="33"/>
      <c r="K67" s="110" t="s">
        <v>118</v>
      </c>
      <c r="L67" s="15"/>
      <c r="M67" s="62"/>
      <c r="N67" s="72"/>
    </row>
    <row r="68" spans="1:18" ht="17.25" customHeight="1" x14ac:dyDescent="0.15">
      <c r="A68" s="97"/>
      <c r="B68" s="24" t="s">
        <v>79</v>
      </c>
      <c r="C68" s="15" t="s">
        <v>99</v>
      </c>
      <c r="D68" s="15" t="s">
        <v>73</v>
      </c>
      <c r="E68" s="15">
        <v>4</v>
      </c>
      <c r="F68" s="17">
        <v>4</v>
      </c>
      <c r="G68" s="15"/>
      <c r="H68" s="15"/>
      <c r="I68" s="9"/>
      <c r="J68" s="33"/>
      <c r="K68" s="111"/>
      <c r="L68" s="15"/>
      <c r="M68" s="62"/>
      <c r="N68" s="72"/>
    </row>
    <row r="69" spans="1:18" ht="17.25" customHeight="1" x14ac:dyDescent="0.15">
      <c r="A69" s="97"/>
      <c r="B69" s="88" t="s">
        <v>121</v>
      </c>
      <c r="C69" s="34" t="s">
        <v>116</v>
      </c>
      <c r="D69" s="34" t="s">
        <v>56</v>
      </c>
      <c r="E69" s="34">
        <v>3</v>
      </c>
      <c r="F69" s="17">
        <v>2</v>
      </c>
      <c r="G69" s="34"/>
      <c r="H69" s="34"/>
      <c r="I69" s="9"/>
      <c r="J69" s="33"/>
      <c r="K69" s="69" t="s">
        <v>93</v>
      </c>
      <c r="L69" s="41"/>
      <c r="M69" s="62"/>
      <c r="N69" s="72"/>
    </row>
    <row r="70" spans="1:18" ht="17.25" customHeight="1" x14ac:dyDescent="0.15">
      <c r="A70" s="97"/>
      <c r="B70" s="76"/>
      <c r="C70" s="34" t="s">
        <v>115</v>
      </c>
      <c r="D70" s="34" t="s">
        <v>109</v>
      </c>
      <c r="E70" s="34">
        <v>3</v>
      </c>
      <c r="F70" s="17">
        <v>2</v>
      </c>
      <c r="G70" s="34"/>
      <c r="H70" s="34"/>
      <c r="I70" s="9"/>
      <c r="J70" s="33"/>
      <c r="K70" s="82"/>
      <c r="L70" s="33"/>
      <c r="M70" s="82"/>
      <c r="N70" s="72"/>
    </row>
    <row r="71" spans="1:18" ht="17.25" customHeight="1" x14ac:dyDescent="0.15">
      <c r="A71" s="97"/>
      <c r="B71" s="21" t="s">
        <v>94</v>
      </c>
      <c r="C71" s="15" t="s">
        <v>100</v>
      </c>
      <c r="D71" s="15" t="s">
        <v>73</v>
      </c>
      <c r="E71" s="15">
        <v>4</v>
      </c>
      <c r="F71" s="17">
        <v>4</v>
      </c>
      <c r="G71" s="15"/>
      <c r="H71" s="15"/>
      <c r="I71" s="9"/>
      <c r="J71" s="33"/>
      <c r="K71" s="32"/>
      <c r="L71" s="100" t="s">
        <v>91</v>
      </c>
      <c r="M71" s="65">
        <v>12</v>
      </c>
      <c r="N71" s="72"/>
    </row>
    <row r="72" spans="1:18" ht="17.25" customHeight="1" x14ac:dyDescent="0.15">
      <c r="A72" s="97"/>
      <c r="B72" s="21" t="s">
        <v>77</v>
      </c>
      <c r="C72" s="15" t="s">
        <v>76</v>
      </c>
      <c r="D72" s="15" t="s">
        <v>73</v>
      </c>
      <c r="E72" s="15">
        <v>4</v>
      </c>
      <c r="F72" s="17">
        <v>4</v>
      </c>
      <c r="G72" s="15"/>
      <c r="H72" s="15"/>
      <c r="I72" s="9"/>
      <c r="J72" s="33"/>
      <c r="K72" s="33"/>
      <c r="L72" s="101"/>
      <c r="M72" s="62"/>
      <c r="N72" s="72"/>
    </row>
    <row r="73" spans="1:18" ht="17.25" customHeight="1" x14ac:dyDescent="0.15">
      <c r="A73" s="97"/>
      <c r="B73" s="88" t="s">
        <v>86</v>
      </c>
      <c r="C73" s="34" t="s">
        <v>124</v>
      </c>
      <c r="D73" s="34" t="s">
        <v>120</v>
      </c>
      <c r="E73" s="34">
        <v>4</v>
      </c>
      <c r="F73" s="17">
        <v>4</v>
      </c>
      <c r="G73" s="34"/>
      <c r="H73" s="34"/>
      <c r="I73" s="9"/>
      <c r="J73" s="33"/>
      <c r="K73" s="33"/>
      <c r="L73" s="107" t="s">
        <v>122</v>
      </c>
      <c r="M73" s="62"/>
      <c r="N73" s="72"/>
    </row>
    <row r="74" spans="1:18" ht="17.25" customHeight="1" x14ac:dyDescent="0.15">
      <c r="A74" s="97"/>
      <c r="B74" s="76"/>
      <c r="C74" s="15" t="s">
        <v>101</v>
      </c>
      <c r="D74" s="15" t="s">
        <v>73</v>
      </c>
      <c r="E74" s="15">
        <v>4</v>
      </c>
      <c r="F74" s="17">
        <v>4</v>
      </c>
      <c r="G74" s="15"/>
      <c r="H74" s="15"/>
      <c r="I74" s="9"/>
      <c r="J74" s="33"/>
      <c r="K74" s="33"/>
      <c r="L74" s="108"/>
      <c r="M74" s="62"/>
      <c r="N74" s="72"/>
    </row>
    <row r="75" spans="1:18" ht="17.25" customHeight="1" x14ac:dyDescent="0.15">
      <c r="A75" s="97"/>
      <c r="B75" s="21" t="s">
        <v>79</v>
      </c>
      <c r="C75" s="15" t="s">
        <v>102</v>
      </c>
      <c r="D75" s="15" t="s">
        <v>73</v>
      </c>
      <c r="E75" s="15">
        <v>4</v>
      </c>
      <c r="F75" s="17">
        <v>4</v>
      </c>
      <c r="G75" s="15"/>
      <c r="H75" s="15"/>
      <c r="I75" s="9"/>
      <c r="J75" s="33"/>
      <c r="K75" s="33"/>
      <c r="L75" s="109"/>
      <c r="M75" s="62"/>
      <c r="N75" s="72"/>
    </row>
    <row r="76" spans="1:18" ht="17.25" customHeight="1" x14ac:dyDescent="0.15">
      <c r="A76" s="92" t="s">
        <v>10</v>
      </c>
      <c r="B76" s="93"/>
      <c r="C76" s="93"/>
      <c r="D76" s="93"/>
      <c r="E76" s="93"/>
      <c r="F76" s="93"/>
      <c r="G76" s="11">
        <v>30</v>
      </c>
      <c r="H76" s="11">
        <v>29</v>
      </c>
      <c r="I76" s="11">
        <v>30</v>
      </c>
      <c r="J76" s="11">
        <v>29</v>
      </c>
      <c r="K76" s="40">
        <v>30</v>
      </c>
      <c r="L76" s="11">
        <v>26</v>
      </c>
      <c r="M76" s="14">
        <f t="shared" ref="M76:M78" si="1">SUM(G76:L76)</f>
        <v>174</v>
      </c>
      <c r="N76" s="7"/>
      <c r="R76" s="2"/>
    </row>
    <row r="77" spans="1:18" ht="17.25" customHeight="1" x14ac:dyDescent="0.15">
      <c r="A77" s="94" t="s">
        <v>15</v>
      </c>
      <c r="B77" s="95"/>
      <c r="C77" s="95"/>
      <c r="D77" s="95"/>
      <c r="E77" s="95"/>
      <c r="F77" s="95"/>
      <c r="G77" s="14">
        <v>3</v>
      </c>
      <c r="H77" s="14">
        <v>3</v>
      </c>
      <c r="I77" s="14">
        <v>3</v>
      </c>
      <c r="J77" s="14">
        <v>3</v>
      </c>
      <c r="K77" s="14">
        <v>3</v>
      </c>
      <c r="L77" s="14">
        <v>3</v>
      </c>
      <c r="M77" s="14">
        <f t="shared" si="1"/>
        <v>18</v>
      </c>
      <c r="N77" s="7"/>
      <c r="R77" s="2"/>
    </row>
    <row r="78" spans="1:18" ht="17.25" customHeight="1" x14ac:dyDescent="0.15">
      <c r="A78" s="94" t="s">
        <v>16</v>
      </c>
      <c r="B78" s="95"/>
      <c r="C78" s="95"/>
      <c r="D78" s="95"/>
      <c r="E78" s="95"/>
      <c r="F78" s="95"/>
      <c r="G78" s="18">
        <v>33</v>
      </c>
      <c r="H78" s="18">
        <v>32</v>
      </c>
      <c r="I78" s="18">
        <v>32</v>
      </c>
      <c r="J78" s="18">
        <v>33</v>
      </c>
      <c r="K78" s="18">
        <v>33</v>
      </c>
      <c r="L78" s="18">
        <v>29</v>
      </c>
      <c r="M78" s="14">
        <f t="shared" si="1"/>
        <v>192</v>
      </c>
      <c r="N78" s="7"/>
    </row>
    <row r="79" spans="1:18" ht="17.25" customHeight="1" thickBot="1" x14ac:dyDescent="0.2">
      <c r="A79" s="90" t="s">
        <v>17</v>
      </c>
      <c r="B79" s="91"/>
      <c r="C79" s="91"/>
      <c r="D79" s="91"/>
      <c r="E79" s="91"/>
      <c r="F79" s="91"/>
      <c r="G79" s="8">
        <v>10</v>
      </c>
      <c r="H79" s="8">
        <v>9</v>
      </c>
      <c r="I79" s="8">
        <v>8</v>
      </c>
      <c r="J79" s="8">
        <v>9</v>
      </c>
      <c r="K79" s="8">
        <v>9</v>
      </c>
      <c r="L79" s="8">
        <v>8</v>
      </c>
      <c r="M79" s="14">
        <f>SUM(G79:L79)</f>
        <v>53</v>
      </c>
      <c r="N79" s="7"/>
    </row>
  </sheetData>
  <mergeCells count="80">
    <mergeCell ref="M41:M42"/>
    <mergeCell ref="B43:F43"/>
    <mergeCell ref="J60:J61"/>
    <mergeCell ref="I44:I45"/>
    <mergeCell ref="I46:I47"/>
    <mergeCell ref="B50:B51"/>
    <mergeCell ref="I50:I51"/>
    <mergeCell ref="M44:M51"/>
    <mergeCell ref="B54:B55"/>
    <mergeCell ref="B56:B57"/>
    <mergeCell ref="N41:N42"/>
    <mergeCell ref="I48:I49"/>
    <mergeCell ref="M71:M75"/>
    <mergeCell ref="K62:K63"/>
    <mergeCell ref="L71:L72"/>
    <mergeCell ref="J52:J53"/>
    <mergeCell ref="K69:K70"/>
    <mergeCell ref="N44:N75"/>
    <mergeCell ref="M62:M70"/>
    <mergeCell ref="M52:M61"/>
    <mergeCell ref="J54:J55"/>
    <mergeCell ref="L73:L75"/>
    <mergeCell ref="J58:J59"/>
    <mergeCell ref="K64:K66"/>
    <mergeCell ref="K67:K68"/>
    <mergeCell ref="J56:J57"/>
    <mergeCell ref="A79:F79"/>
    <mergeCell ref="A76:F76"/>
    <mergeCell ref="A77:F77"/>
    <mergeCell ref="A78:F78"/>
    <mergeCell ref="A44:A75"/>
    <mergeCell ref="B60:B61"/>
    <mergeCell ref="B64:B67"/>
    <mergeCell ref="B44:B45"/>
    <mergeCell ref="B46:B47"/>
    <mergeCell ref="B69:B70"/>
    <mergeCell ref="B73:B74"/>
    <mergeCell ref="A6:A42"/>
    <mergeCell ref="B18:B22"/>
    <mergeCell ref="B6:B11"/>
    <mergeCell ref="B12:B17"/>
    <mergeCell ref="B37:B40"/>
    <mergeCell ref="B31:B36"/>
    <mergeCell ref="N18:N22"/>
    <mergeCell ref="M23:M24"/>
    <mergeCell ref="N23:N24"/>
    <mergeCell ref="N6:N11"/>
    <mergeCell ref="M12:M17"/>
    <mergeCell ref="N12:N17"/>
    <mergeCell ref="N25:N26"/>
    <mergeCell ref="M27:M30"/>
    <mergeCell ref="N27:N30"/>
    <mergeCell ref="B27:B30"/>
    <mergeCell ref="N37:N40"/>
    <mergeCell ref="M37:M40"/>
    <mergeCell ref="M31:M36"/>
    <mergeCell ref="N31:N36"/>
    <mergeCell ref="J4:J5"/>
    <mergeCell ref="K4:K5"/>
    <mergeCell ref="L4:L5"/>
    <mergeCell ref="M6:M11"/>
    <mergeCell ref="B23:B26"/>
    <mergeCell ref="M25:M26"/>
    <mergeCell ref="M18:M22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일반고</vt:lpstr>
      <vt:lpstr>일반고!Print_Area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2025-12-08T06:22:11Z</cp:lastPrinted>
  <dcterms:created xsi:type="dcterms:W3CDTF">2002-10-10T04:04:10Z</dcterms:created>
  <dcterms:modified xsi:type="dcterms:W3CDTF">2025-12-23T02:19:10Z</dcterms:modified>
  <cp:version>0906.0100.01</cp:version>
</cp:coreProperties>
</file>