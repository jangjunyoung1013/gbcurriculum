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2425 교육과정편성 수업배당\"/>
    </mc:Choice>
  </mc:AlternateContent>
  <xr:revisionPtr revIDLastSave="0" documentId="13_ncr:1_{3643A9E9-2F5D-49AB-B86C-483F6F0E7331}" xr6:coauthVersionLast="47" xr6:coauthVersionMax="47" xr10:uidLastSave="{00000000-0000-0000-0000-000000000000}"/>
  <bookViews>
    <workbookView xWindow="28680" yWindow="-120" windowWidth="29040" windowHeight="15720" tabRatio="681" xr2:uid="{00000000-000D-0000-FFFF-FFFF00000000}"/>
  </bookViews>
  <sheets>
    <sheet name="2026입학생" sheetId="15" r:id="rId1"/>
  </sheets>
  <definedNames>
    <definedName name="_xlnm.Print_Area" localSheetId="0">'2026입학생'!$A$1:$O$57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7" i="15" l="1"/>
  <c r="N39" i="15" l="1"/>
  <c r="N23" i="15"/>
  <c r="G15" i="15"/>
  <c r="G53" i="15" l="1"/>
  <c r="G52" i="15" l="1"/>
  <c r="N49" i="15" l="1"/>
  <c r="G50" i="15"/>
  <c r="G19" i="15" l="1"/>
  <c r="N51" i="15"/>
  <c r="N45" i="15"/>
  <c r="N29" i="15"/>
  <c r="G43" i="15"/>
  <c r="G51" i="15"/>
  <c r="G49" i="15"/>
  <c r="G44" i="15"/>
  <c r="G40" i="15"/>
  <c r="G39" i="15"/>
  <c r="G36" i="15"/>
  <c r="G35" i="15"/>
  <c r="G28" i="15"/>
  <c r="G27" i="15"/>
  <c r="G26" i="15"/>
  <c r="G25" i="15"/>
  <c r="G24" i="15"/>
  <c r="G23" i="15"/>
  <c r="G22" i="15"/>
  <c r="G21" i="15"/>
  <c r="G20" i="15"/>
  <c r="G18" i="15"/>
  <c r="G17" i="15"/>
  <c r="G16" i="15"/>
  <c r="G13" i="15"/>
  <c r="G14" i="15"/>
  <c r="G12" i="15"/>
  <c r="G11" i="15"/>
  <c r="G10" i="15"/>
  <c r="G8" i="15"/>
  <c r="G9" i="15"/>
  <c r="G7" i="15"/>
  <c r="G6" i="15"/>
  <c r="N21" i="15" l="1"/>
  <c r="N55" i="15" l="1"/>
  <c r="M54" i="15"/>
  <c r="M56" i="15" s="1"/>
  <c r="L54" i="15"/>
  <c r="L56" i="15" s="1"/>
  <c r="K54" i="15"/>
  <c r="K56" i="15" s="1"/>
  <c r="J54" i="15"/>
  <c r="J56" i="15" s="1"/>
  <c r="I54" i="15"/>
  <c r="I56" i="15" s="1"/>
  <c r="H54" i="15"/>
  <c r="H56" i="15" s="1"/>
  <c r="O38" i="15"/>
  <c r="M38" i="15"/>
  <c r="L38" i="15"/>
  <c r="K38" i="15"/>
  <c r="J38" i="15"/>
  <c r="I38" i="15"/>
  <c r="H38" i="15"/>
  <c r="N35" i="15"/>
  <c r="N25" i="15"/>
  <c r="N16" i="15"/>
  <c r="N11" i="15"/>
  <c r="N6" i="15"/>
  <c r="L57" i="15" l="1"/>
  <c r="H57" i="15"/>
  <c r="J57" i="15"/>
  <c r="N38" i="15"/>
  <c r="N54" i="15"/>
  <c r="N56" i="15"/>
  <c r="N57" i="15" l="1"/>
</calcChain>
</file>

<file path=xl/sharedStrings.xml><?xml version="1.0" encoding="utf-8"?>
<sst xmlns="http://schemas.openxmlformats.org/spreadsheetml/2006/main" count="175" uniqueCount="96">
  <si>
    <t>1학기</t>
  </si>
  <si>
    <t>수 학</t>
  </si>
  <si>
    <t>1학년</t>
  </si>
  <si>
    <t>2학기</t>
  </si>
  <si>
    <t>영 어</t>
  </si>
  <si>
    <t>구분</t>
  </si>
  <si>
    <t>국 어</t>
  </si>
  <si>
    <t>3학년</t>
  </si>
  <si>
    <t>2학년</t>
  </si>
  <si>
    <t>학교지정</t>
  </si>
  <si>
    <t>교과(군)</t>
  </si>
  <si>
    <t>창의적 체험활동</t>
  </si>
  <si>
    <t>과목유형</t>
    <phoneticPr fontId="7" type="noConversion"/>
  </si>
  <si>
    <t>선택</t>
    <phoneticPr fontId="7" type="noConversion"/>
  </si>
  <si>
    <t>학교유형: 일반고/자율고</t>
    <phoneticPr fontId="7" type="noConversion"/>
  </si>
  <si>
    <t>과목</t>
    <phoneticPr fontId="7" type="noConversion"/>
  </si>
  <si>
    <t>지정</t>
    <phoneticPr fontId="7" type="noConversion"/>
  </si>
  <si>
    <t>이수
학점</t>
    <phoneticPr fontId="7" type="noConversion"/>
  </si>
  <si>
    <t>학기별 총 이수 학점</t>
    <phoneticPr fontId="7" type="noConversion"/>
  </si>
  <si>
    <t>학년별 총 이수 학점</t>
    <phoneticPr fontId="7" type="noConversion"/>
  </si>
  <si>
    <t>교과 이수 학점 소계</t>
    <phoneticPr fontId="7" type="noConversion"/>
  </si>
  <si>
    <t>(  포항동성  )고등학교</t>
    <phoneticPr fontId="7" type="noConversion"/>
  </si>
  <si>
    <t>공통</t>
    <phoneticPr fontId="7" type="noConversion"/>
  </si>
  <si>
    <t>일반</t>
    <phoneticPr fontId="7" type="noConversion"/>
  </si>
  <si>
    <t>진로</t>
    <phoneticPr fontId="7" type="noConversion"/>
  </si>
  <si>
    <t>영어Ⅱ</t>
    <phoneticPr fontId="7" type="noConversion"/>
  </si>
  <si>
    <t>체육</t>
    <phoneticPr fontId="7" type="noConversion"/>
  </si>
  <si>
    <t>음악</t>
    <phoneticPr fontId="7" type="noConversion"/>
  </si>
  <si>
    <t>미술</t>
    <phoneticPr fontId="7" type="noConversion"/>
  </si>
  <si>
    <t>정보</t>
    <phoneticPr fontId="7" type="noConversion"/>
  </si>
  <si>
    <t>택1</t>
    <phoneticPr fontId="7" type="noConversion"/>
  </si>
  <si>
    <t>택1</t>
  </si>
  <si>
    <t>공통수학1</t>
    <phoneticPr fontId="7" type="noConversion"/>
  </si>
  <si>
    <t>공통수학2</t>
    <phoneticPr fontId="7" type="noConversion"/>
  </si>
  <si>
    <t>지정</t>
  </si>
  <si>
    <t>대수</t>
    <phoneticPr fontId="7" type="noConversion"/>
  </si>
  <si>
    <t>미적분Ⅰ</t>
    <phoneticPr fontId="7" type="noConversion"/>
  </si>
  <si>
    <t>확률과 통계</t>
  </si>
  <si>
    <t>일반</t>
  </si>
  <si>
    <t>융합</t>
    <phoneticPr fontId="7" type="noConversion"/>
  </si>
  <si>
    <t>편성
학점</t>
    <phoneticPr fontId="7" type="noConversion"/>
  </si>
  <si>
    <t>필수
이수
학점</t>
    <phoneticPr fontId="7" type="noConversion"/>
  </si>
  <si>
    <t>기본
학점</t>
    <phoneticPr fontId="7" type="noConversion"/>
  </si>
  <si>
    <t>한국사1</t>
    <phoneticPr fontId="7" type="noConversion"/>
  </si>
  <si>
    <t>한국사2</t>
    <phoneticPr fontId="7" type="noConversion"/>
  </si>
  <si>
    <t>통합사회1</t>
    <phoneticPr fontId="7" type="noConversion"/>
  </si>
  <si>
    <t>통합사회2</t>
    <phoneticPr fontId="7" type="noConversion"/>
  </si>
  <si>
    <t>공통국어1</t>
  </si>
  <si>
    <t>공통국어2</t>
  </si>
  <si>
    <t>공통영어1</t>
  </si>
  <si>
    <t>공통영어2</t>
  </si>
  <si>
    <t>통합과학1</t>
  </si>
  <si>
    <t>통합과학2</t>
  </si>
  <si>
    <t>공통</t>
  </si>
  <si>
    <t>문학</t>
  </si>
  <si>
    <t>영어Ⅰ</t>
  </si>
  <si>
    <t>과학탐구실험1</t>
  </si>
  <si>
    <t>과학탐구실험2</t>
  </si>
  <si>
    <t>예술</t>
    <phoneticPr fontId="7" type="noConversion"/>
  </si>
  <si>
    <t>진로</t>
  </si>
  <si>
    <t>스포츠 생활2</t>
    <phoneticPr fontId="7" type="noConversion"/>
  </si>
  <si>
    <t>스포츠 생활1</t>
    <phoneticPr fontId="7" type="noConversion"/>
  </si>
  <si>
    <t>체육2</t>
    <phoneticPr fontId="7" type="noConversion"/>
  </si>
  <si>
    <t>체육1</t>
    <phoneticPr fontId="7" type="noConversion"/>
  </si>
  <si>
    <t>사 회
(역사/
도덕포함)</t>
    <phoneticPr fontId="7" type="noConversion"/>
  </si>
  <si>
    <t>스포츠 과학</t>
  </si>
  <si>
    <t>스포츠 문화</t>
  </si>
  <si>
    <t>택2</t>
    <phoneticPr fontId="7" type="noConversion"/>
  </si>
  <si>
    <t>기하/경제 수학/주제 탐구 독서</t>
    <phoneticPr fontId="7" type="noConversion"/>
  </si>
  <si>
    <t>미적분Ⅱ/영미 문학 읽기</t>
    <phoneticPr fontId="7" type="noConversion"/>
  </si>
  <si>
    <r>
      <t>진로/</t>
    </r>
    <r>
      <rPr>
        <sz val="9"/>
        <color rgb="FFFF0000"/>
        <rFont val="맑은 고딕"/>
        <family val="3"/>
        <charset val="129"/>
      </rPr>
      <t>융합</t>
    </r>
    <phoneticPr fontId="7" type="noConversion"/>
  </si>
  <si>
    <r>
      <t>문학과 영상/직무 의사소통/</t>
    </r>
    <r>
      <rPr>
        <sz val="9"/>
        <color rgb="FFFF0000"/>
        <rFont val="맑은 고딕"/>
        <family val="3"/>
        <charset val="129"/>
      </rPr>
      <t>독서 토론과 글쓰기
매체 의사소통/언어생활 탐구</t>
    </r>
    <phoneticPr fontId="7" type="noConversion"/>
  </si>
  <si>
    <t>택3</t>
    <phoneticPr fontId="7" type="noConversion"/>
  </si>
  <si>
    <t>택4</t>
    <phoneticPr fontId="7" type="noConversion"/>
  </si>
  <si>
    <r>
      <t>기술·가정
정보
제2외국어
한</t>
    </r>
    <r>
      <rPr>
        <sz val="9"/>
        <rFont val="맑은 고딕"/>
        <family val="3"/>
        <charset val="129"/>
      </rPr>
      <t>문/</t>
    </r>
    <r>
      <rPr>
        <i/>
        <sz val="9"/>
        <rFont val="맑은 고딕"/>
        <family val="3"/>
        <charset val="129"/>
      </rPr>
      <t>교양</t>
    </r>
    <phoneticPr fontId="7" type="noConversion"/>
  </si>
  <si>
    <r>
      <rPr>
        <i/>
        <sz val="9"/>
        <rFont val="맑은 고딕"/>
        <family val="3"/>
        <charset val="129"/>
      </rPr>
      <t>보건/</t>
    </r>
    <r>
      <rPr>
        <i/>
        <sz val="9"/>
        <color rgb="FFFF0000"/>
        <rFont val="맑은 고딕"/>
        <family val="3"/>
        <charset val="129"/>
      </rPr>
      <t>논술</t>
    </r>
    <phoneticPr fontId="7" type="noConversion"/>
  </si>
  <si>
    <t>과 학</t>
    <phoneticPr fontId="7" type="noConversion"/>
  </si>
  <si>
    <t>예 술</t>
    <phoneticPr fontId="7" type="noConversion"/>
  </si>
  <si>
    <r>
      <t>미술 창작/미술 감상과 비평/</t>
    </r>
    <r>
      <rPr>
        <i/>
        <sz val="9"/>
        <color rgb="FFFF0000"/>
        <rFont val="맑은 고딕"/>
        <family val="3"/>
        <charset val="129"/>
      </rPr>
      <t>미술과 매체</t>
    </r>
    <phoneticPr fontId="7" type="noConversion"/>
  </si>
  <si>
    <r>
      <t>음악 연주와 창작/음악 감상과 비평/</t>
    </r>
    <r>
      <rPr>
        <i/>
        <sz val="9"/>
        <color rgb="FFFF0000"/>
        <rFont val="맑은 고딕"/>
        <family val="3"/>
        <charset val="129"/>
      </rPr>
      <t>음악과 미디어</t>
    </r>
    <phoneticPr fontId="7" type="noConversion"/>
  </si>
  <si>
    <t>독서와 작문</t>
    <phoneticPr fontId="7" type="noConversion"/>
  </si>
  <si>
    <t>화법과 언어</t>
    <phoneticPr fontId="7" type="noConversion"/>
  </si>
  <si>
    <t>3~4</t>
    <phoneticPr fontId="7" type="noConversion"/>
  </si>
  <si>
    <t>2026학년도 입학생 3개년 교육과정 편성표</t>
    <phoneticPr fontId="7" type="noConversion"/>
  </si>
  <si>
    <r>
      <rPr>
        <sz val="9"/>
        <color rgb="FF0070C0"/>
        <rFont val="맑은 고딕"/>
        <family val="3"/>
        <charset val="129"/>
      </rPr>
      <t>일반</t>
    </r>
    <r>
      <rPr>
        <sz val="9"/>
        <rFont val="맑은 고딕"/>
        <family val="3"/>
        <charset val="129"/>
      </rPr>
      <t>/진로/</t>
    </r>
    <r>
      <rPr>
        <sz val="9"/>
        <color rgb="FFFF0000"/>
        <rFont val="맑은 고딕"/>
        <family val="3"/>
        <charset val="129"/>
      </rPr>
      <t>융합</t>
    </r>
    <phoneticPr fontId="7" type="noConversion"/>
  </si>
  <si>
    <r>
      <rPr>
        <sz val="9"/>
        <color rgb="FF0070C0"/>
        <rFont val="맑은 고딕"/>
        <family val="3"/>
        <charset val="129"/>
      </rPr>
      <t>영어 독해와 작문</t>
    </r>
    <r>
      <rPr>
        <sz val="9"/>
        <rFont val="맑은 고딕"/>
        <family val="3"/>
        <charset val="129"/>
      </rPr>
      <t xml:space="preserve">/영어 발표와 토론/심화 영어 독해와 작문
 </t>
    </r>
    <r>
      <rPr>
        <sz val="9"/>
        <color rgb="FFFF0000"/>
        <rFont val="맑은 고딕"/>
        <family val="3"/>
        <charset val="129"/>
      </rPr>
      <t>실생활 영어 회화/미디어 영어/세계 문화와 영어</t>
    </r>
    <phoneticPr fontId="7" type="noConversion"/>
  </si>
  <si>
    <r>
      <rPr>
        <u/>
        <sz val="10"/>
        <color rgb="FF000000"/>
        <rFont val="맑은 고딕"/>
        <family val="3"/>
        <charset val="129"/>
      </rPr>
      <t>과학</t>
    </r>
    <r>
      <rPr>
        <sz val="10"/>
        <color rgb="FF000000"/>
        <rFont val="맑은 고딕"/>
        <family val="3"/>
        <charset val="129"/>
      </rPr>
      <t xml:space="preserve">
사 회
(역사/
도덕포함)</t>
    </r>
    <phoneticPr fontId="7" type="noConversion"/>
  </si>
  <si>
    <t>기술·가정
정보/제2외국어
한문/교양</t>
    <phoneticPr fontId="7" type="noConversion"/>
  </si>
  <si>
    <r>
      <t xml:space="preserve">로봇과 공학세계/생활과학 탐구/인공지능 기초/데이터 과학
</t>
    </r>
    <r>
      <rPr>
        <i/>
        <sz val="9"/>
        <color theme="1"/>
        <rFont val="맑은 고딕"/>
        <family val="3"/>
        <charset val="129"/>
      </rPr>
      <t>인간과 철학/논리와 사고/인간과 심리/교육의 이해/</t>
    </r>
    <r>
      <rPr>
        <i/>
        <sz val="9"/>
        <color rgb="FFFF0000"/>
        <rFont val="맑은 고딕"/>
        <family val="3"/>
        <charset val="129"/>
      </rPr>
      <t>인간과 경제 활동</t>
    </r>
    <r>
      <rPr>
        <sz val="9"/>
        <color rgb="FFFF0000"/>
        <rFont val="맑은 고딕"/>
        <family val="3"/>
        <charset val="129"/>
      </rPr>
      <t xml:space="preserve">
창의 공학 설계/지식 재산 일반/아동발달과 부모/소프트웨어와 생활</t>
    </r>
    <phoneticPr fontId="7" type="noConversion"/>
  </si>
  <si>
    <t>한문/일본어/중국어</t>
    <phoneticPr fontId="7" type="noConversion"/>
  </si>
  <si>
    <t>고급 미적분/이산 수학/고급 대수/고급 기하</t>
    <phoneticPr fontId="7" type="noConversion"/>
  </si>
  <si>
    <t>심화 영어</t>
    <phoneticPr fontId="7" type="noConversion"/>
  </si>
  <si>
    <r>
      <t>진로/</t>
    </r>
    <r>
      <rPr>
        <sz val="9"/>
        <color rgb="FFFF0000"/>
        <rFont val="맑은 고딕"/>
        <family val="3"/>
        <charset val="129"/>
        <scheme val="minor"/>
      </rPr>
      <t>융합</t>
    </r>
    <phoneticPr fontId="7" type="noConversion"/>
  </si>
  <si>
    <r>
      <t>전문 수학/</t>
    </r>
    <r>
      <rPr>
        <sz val="9"/>
        <color rgb="FFFF0000"/>
        <rFont val="맑은 고딕"/>
        <family val="3"/>
        <charset val="129"/>
        <scheme val="minor"/>
      </rPr>
      <t>수학과제 탐구</t>
    </r>
    <phoneticPr fontId="7" type="noConversion"/>
  </si>
  <si>
    <r>
      <rPr>
        <u/>
        <sz val="9"/>
        <color rgb="FF0070C0"/>
        <rFont val="맑은 고딕"/>
        <family val="3"/>
        <charset val="129"/>
      </rPr>
      <t>물리학/화학/생명과학/지구과학</t>
    </r>
    <r>
      <rPr>
        <sz val="9"/>
        <color rgb="FF0070C0"/>
        <rFont val="맑은 고딕"/>
        <family val="3"/>
        <charset val="129"/>
      </rPr>
      <t xml:space="preserve">
세계시민과 지리/세계사/사회와 문화/현대사회와 윤리
</t>
    </r>
    <r>
      <rPr>
        <u/>
        <sz val="9"/>
        <rFont val="맑은 고딕"/>
        <family val="3"/>
        <charset val="129"/>
      </rPr>
      <t>역학과 에너지/전자기와 양자/물질과 에너지/화학 반응의 세계
세포와 물질대사/생물의 유전/지구시스템과학/행성우주과학</t>
    </r>
    <r>
      <rPr>
        <sz val="9"/>
        <rFont val="맑은 고딕"/>
        <family val="3"/>
        <charset val="129"/>
      </rPr>
      <t xml:space="preserve">
한국지리 탐구/도시의 미래 탐구/동아시아 역사 기행/정치
법과 사회/경제/윤리와 사상/인문학과 윤리/국제 관계의 이해
</t>
    </r>
    <r>
      <rPr>
        <u/>
        <sz val="9"/>
        <rFont val="맑은 고딕"/>
        <family val="3"/>
        <charset val="129"/>
      </rPr>
      <t>고급 물리학/고급 화학/고급 생명과학/고급 지구과학/과학과제 연구</t>
    </r>
    <r>
      <rPr>
        <sz val="9"/>
        <rFont val="맑은 고딕"/>
        <family val="3"/>
        <charset val="129"/>
      </rPr>
      <t xml:space="preserve">
</t>
    </r>
    <r>
      <rPr>
        <u/>
        <sz val="9"/>
        <color rgb="FFFF0000"/>
        <rFont val="맑은 고딕"/>
        <family val="3"/>
        <charset val="129"/>
      </rPr>
      <t>물리학 실험/화학 실험/생명과학 실험/지구과학 실험</t>
    </r>
    <phoneticPr fontId="7" type="noConversion"/>
  </si>
  <si>
    <r>
      <rPr>
        <i/>
        <u/>
        <sz val="9"/>
        <color rgb="FFFF0000"/>
        <rFont val="맑은 고딕"/>
        <family val="3"/>
        <charset val="129"/>
        <scheme val="major"/>
      </rPr>
      <t>기후변화와 환경생태/과학의 역사와 문화/융합과학 탐구</t>
    </r>
    <r>
      <rPr>
        <i/>
        <sz val="9"/>
        <color rgb="FFFF0000"/>
        <rFont val="맑은 고딕"/>
        <family val="3"/>
        <charset val="129"/>
        <scheme val="major"/>
      </rPr>
      <t xml:space="preserve">
여행지리/역사로 탐구하는 현대 세계/사회문제 탐구
금융과 경제생활/윤리문제 탐구/기후변화와 지속가능한 세계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</si>
</sst>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35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b/>
      <sz val="9"/>
      <color rgb="FF000000"/>
      <name val="맑은 고딕"/>
      <family val="3"/>
      <charset val="129"/>
    </font>
    <font>
      <sz val="9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8"/>
      <color rgb="FF000000"/>
      <name val="돋움"/>
      <family val="3"/>
      <charset val="129"/>
    </font>
    <font>
      <sz val="8"/>
      <color rgb="FF000000"/>
      <name val="맑은 고딕"/>
      <family val="3"/>
      <charset val="129"/>
    </font>
    <font>
      <b/>
      <sz val="12"/>
      <name val="맑은 고딕"/>
      <family val="3"/>
      <charset val="129"/>
    </font>
    <font>
      <b/>
      <sz val="10"/>
      <name val="맑은 고딕"/>
      <family val="3"/>
      <charset val="129"/>
    </font>
    <font>
      <sz val="11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</font>
    <font>
      <i/>
      <sz val="9"/>
      <color theme="1"/>
      <name val="맑은 고딕"/>
      <family val="3"/>
      <charset val="129"/>
    </font>
    <font>
      <i/>
      <sz val="9"/>
      <color rgb="FFFF0000"/>
      <name val="맑은 고딕"/>
      <family val="3"/>
      <charset val="129"/>
    </font>
    <font>
      <i/>
      <sz val="9"/>
      <name val="맑은 고딕"/>
      <family val="3"/>
      <charset val="129"/>
    </font>
    <font>
      <i/>
      <sz val="9"/>
      <color rgb="FF0070C0"/>
      <name val="맑은 고딕"/>
      <family val="3"/>
      <charset val="129"/>
    </font>
    <font>
      <i/>
      <sz val="9"/>
      <color rgb="FF000000"/>
      <name val="맑은 고딕"/>
      <family val="3"/>
      <charset val="129"/>
    </font>
    <font>
      <sz val="9"/>
      <color rgb="FF0070C0"/>
      <name val="맑은 고딕"/>
      <family val="3"/>
      <charset val="129"/>
    </font>
    <font>
      <i/>
      <sz val="10"/>
      <name val="맑은 고딕"/>
      <family val="3"/>
      <charset val="129"/>
    </font>
    <font>
      <u/>
      <sz val="9"/>
      <color rgb="FF0070C0"/>
      <name val="맑은 고딕"/>
      <family val="3"/>
      <charset val="129"/>
    </font>
    <font>
      <u/>
      <sz val="9"/>
      <name val="맑은 고딕"/>
      <family val="3"/>
      <charset val="129"/>
    </font>
    <font>
      <u/>
      <sz val="9"/>
      <color rgb="FFFF0000"/>
      <name val="맑은 고딕"/>
      <family val="3"/>
      <charset val="129"/>
    </font>
    <font>
      <u/>
      <sz val="10"/>
      <color rgb="FF000000"/>
      <name val="맑은 고딕"/>
      <family val="3"/>
      <charset val="129"/>
    </font>
    <font>
      <sz val="9"/>
      <color rgb="FFFF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ajor"/>
    </font>
    <font>
      <i/>
      <sz val="9"/>
      <color rgb="FFFF0000"/>
      <name val="맑은 고딕"/>
      <family val="3"/>
      <charset val="129"/>
      <scheme val="major"/>
    </font>
    <font>
      <i/>
      <u/>
      <sz val="9"/>
      <color rgb="FFFF0000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FFDFF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156">
    <xf numFmtId="0" fontId="0" fillId="0" borderId="0" xfId="0" applyNumberFormat="1"/>
    <xf numFmtId="0" fontId="0" fillId="0" borderId="0" xfId="0" applyNumberFormat="1"/>
    <xf numFmtId="0" fontId="3" fillId="0" borderId="14" xfId="0" applyNumberFormat="1" applyFont="1" applyFill="1" applyBorder="1" applyAlignment="1" applyProtection="1">
      <alignment horizontal="left"/>
    </xf>
    <xf numFmtId="0" fontId="3" fillId="0" borderId="13" xfId="0" applyNumberFormat="1" applyFont="1" applyFill="1" applyBorder="1" applyAlignment="1" applyProtection="1">
      <alignment horizontal="left"/>
    </xf>
    <xf numFmtId="0" fontId="6" fillId="0" borderId="18" xfId="0" applyNumberFormat="1" applyFont="1" applyFill="1" applyBorder="1" applyAlignment="1" applyProtection="1">
      <alignment horizontal="center" vertical="center" wrapText="1" shrinkToFit="1"/>
    </xf>
    <xf numFmtId="0" fontId="0" fillId="0" borderId="0" xfId="0" applyNumberFormat="1" applyAlignment="1">
      <alignment horizontal="center" vertical="center"/>
    </xf>
    <xf numFmtId="0" fontId="8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" vertical="center" wrapText="1"/>
    </xf>
    <xf numFmtId="0" fontId="9" fillId="0" borderId="18" xfId="0" applyNumberFormat="1" applyFont="1" applyFill="1" applyBorder="1" applyAlignment="1" applyProtection="1">
      <alignment horizontal="center" vertical="center" wrapText="1"/>
    </xf>
    <xf numFmtId="0" fontId="9" fillId="0" borderId="24" xfId="0" applyNumberFormat="1" applyFont="1" applyFill="1" applyBorder="1" applyAlignment="1" applyProtection="1">
      <alignment horizontal="center" vertical="center" wrapText="1"/>
    </xf>
    <xf numFmtId="0" fontId="10" fillId="0" borderId="18" xfId="0" applyNumberFormat="1" applyFont="1" applyFill="1" applyBorder="1" applyAlignment="1" applyProtection="1">
      <alignment horizontal="center" vertical="center" wrapText="1"/>
    </xf>
    <xf numFmtId="0" fontId="8" fillId="0" borderId="0" xfId="0" applyNumberFormat="1" applyFont="1" applyAlignment="1">
      <alignment horizontal="center" vertical="center" wrapText="1"/>
    </xf>
    <xf numFmtId="0" fontId="9" fillId="0" borderId="31" xfId="0" applyNumberFormat="1" applyFont="1" applyFill="1" applyBorder="1" applyAlignment="1" applyProtection="1">
      <alignment horizontal="center" vertical="center" wrapText="1"/>
    </xf>
    <xf numFmtId="0" fontId="10" fillId="0" borderId="20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9" fillId="0" borderId="21" xfId="0" applyNumberFormat="1" applyFont="1" applyFill="1" applyBorder="1" applyAlignment="1" applyProtection="1">
      <alignment horizontal="center" vertical="center" wrapText="1"/>
    </xf>
    <xf numFmtId="0" fontId="10" fillId="0" borderId="21" xfId="0" applyNumberFormat="1" applyFont="1" applyFill="1" applyBorder="1" applyAlignment="1" applyProtection="1">
      <alignment horizontal="center" vertical="center" wrapText="1"/>
    </xf>
    <xf numFmtId="0" fontId="10" fillId="0" borderId="31" xfId="0" applyNumberFormat="1" applyFont="1" applyFill="1" applyBorder="1" applyAlignment="1" applyProtection="1">
      <alignment horizontal="center" vertical="center" wrapText="1"/>
    </xf>
    <xf numFmtId="0" fontId="10" fillId="0" borderId="16" xfId="0" applyNumberFormat="1" applyFont="1" applyFill="1" applyBorder="1" applyAlignment="1" applyProtection="1">
      <alignment horizontal="center" vertical="center" wrapText="1"/>
    </xf>
    <xf numFmtId="0" fontId="10" fillId="0" borderId="21" xfId="0" applyNumberFormat="1" applyFont="1" applyFill="1" applyBorder="1" applyAlignment="1" applyProtection="1">
      <alignment horizontal="center" vertical="center" wrapText="1" shrinkToFit="1"/>
    </xf>
    <xf numFmtId="0" fontId="14" fillId="0" borderId="13" xfId="0" applyNumberFormat="1" applyFont="1" applyFill="1" applyBorder="1" applyAlignment="1" applyProtection="1">
      <alignment horizontal="left"/>
    </xf>
    <xf numFmtId="0" fontId="16" fillId="0" borderId="0" xfId="0" applyNumberFormat="1" applyFont="1"/>
    <xf numFmtId="0" fontId="9" fillId="3" borderId="9" xfId="0" applyNumberFormat="1" applyFont="1" applyFill="1" applyBorder="1" applyAlignment="1" applyProtection="1">
      <alignment horizontal="center" vertical="center" wrapText="1"/>
    </xf>
    <xf numFmtId="0" fontId="9" fillId="3" borderId="12" xfId="0" applyNumberFormat="1" applyFont="1" applyFill="1" applyBorder="1" applyAlignment="1" applyProtection="1">
      <alignment horizontal="center" vertical="center" wrapText="1"/>
    </xf>
    <xf numFmtId="0" fontId="4" fillId="3" borderId="1" xfId="0" applyNumberFormat="1" applyFont="1" applyFill="1" applyBorder="1" applyAlignment="1" applyProtection="1">
      <alignment horizontal="center" vertical="center"/>
    </xf>
    <xf numFmtId="0" fontId="9" fillId="3" borderId="11" xfId="0" applyNumberFormat="1" applyFont="1" applyFill="1" applyBorder="1" applyAlignment="1" applyProtection="1">
      <alignment horizontal="center" vertical="center" wrapText="1"/>
    </xf>
    <xf numFmtId="0" fontId="1" fillId="3" borderId="2" xfId="0" applyNumberFormat="1" applyFont="1" applyFill="1" applyBorder="1" applyAlignment="1" applyProtection="1">
      <alignment horizontal="center" vertical="center"/>
    </xf>
    <xf numFmtId="0" fontId="1" fillId="3" borderId="1" xfId="0" applyNumberFormat="1" applyFont="1" applyFill="1" applyBorder="1" applyAlignment="1" applyProtection="1">
      <alignment horizontal="center" vertical="center"/>
    </xf>
    <xf numFmtId="0" fontId="10" fillId="0" borderId="20" xfId="0" applyNumberFormat="1" applyFont="1" applyFill="1" applyBorder="1" applyAlignment="1" applyProtection="1">
      <alignment horizontal="center" vertical="center" wrapText="1" shrinkToFit="1"/>
    </xf>
    <xf numFmtId="0" fontId="10" fillId="0" borderId="18" xfId="0" applyNumberFormat="1" applyFont="1" applyFill="1" applyBorder="1" applyAlignment="1" applyProtection="1">
      <alignment horizontal="center" vertical="center" wrapText="1" shrinkToFit="1"/>
    </xf>
    <xf numFmtId="0" fontId="10" fillId="0" borderId="26" xfId="0" applyNumberFormat="1" applyFont="1" applyFill="1" applyBorder="1" applyAlignment="1" applyProtection="1">
      <alignment horizontal="center" vertical="center" wrapText="1"/>
    </xf>
    <xf numFmtId="0" fontId="18" fillId="0" borderId="18" xfId="0" applyNumberFormat="1" applyFont="1" applyBorder="1" applyAlignment="1">
      <alignment horizontal="center" vertical="center" wrapText="1"/>
    </xf>
    <xf numFmtId="0" fontId="1" fillId="3" borderId="5" xfId="0" applyNumberFormat="1" applyFont="1" applyFill="1" applyBorder="1" applyAlignment="1" applyProtection="1">
      <alignment horizontal="center" vertical="center"/>
    </xf>
    <xf numFmtId="0" fontId="6" fillId="0" borderId="21" xfId="0" applyNumberFormat="1" applyFont="1" applyFill="1" applyBorder="1" applyAlignment="1" applyProtection="1">
      <alignment horizontal="center" vertical="center" wrapText="1"/>
    </xf>
    <xf numFmtId="0" fontId="10" fillId="0" borderId="24" xfId="0" applyNumberFormat="1" applyFont="1" applyFill="1" applyBorder="1" applyAlignment="1" applyProtection="1">
      <alignment horizontal="center" vertical="center" wrapText="1"/>
    </xf>
    <xf numFmtId="0" fontId="6" fillId="0" borderId="16" xfId="0" applyNumberFormat="1" applyFont="1" applyFill="1" applyBorder="1" applyAlignment="1" applyProtection="1">
      <alignment horizontal="center" vertical="center" wrapText="1"/>
    </xf>
    <xf numFmtId="0" fontId="6" fillId="0" borderId="18" xfId="0" applyNumberFormat="1" applyFont="1" applyFill="1" applyBorder="1" applyAlignment="1" applyProtection="1">
      <alignment horizontal="center" vertical="center" wrapText="1"/>
    </xf>
    <xf numFmtId="0" fontId="12" fillId="0" borderId="0" xfId="0" applyNumberFormat="1" applyFont="1" applyAlignment="1">
      <alignment horizontal="center" vertical="center" wrapText="1"/>
    </xf>
    <xf numFmtId="0" fontId="19" fillId="4" borderId="21" xfId="0" applyNumberFormat="1" applyFont="1" applyFill="1" applyBorder="1" applyAlignment="1" applyProtection="1">
      <alignment horizontal="center" vertical="center" wrapText="1"/>
    </xf>
    <xf numFmtId="0" fontId="23" fillId="0" borderId="18" xfId="0" applyNumberFormat="1" applyFont="1" applyFill="1" applyBorder="1" applyAlignment="1" applyProtection="1">
      <alignment horizontal="center" vertical="center" wrapText="1" shrinkToFit="1"/>
    </xf>
    <xf numFmtId="0" fontId="24" fillId="0" borderId="31" xfId="0" applyNumberFormat="1" applyFont="1" applyFill="1" applyBorder="1" applyAlignment="1" applyProtection="1">
      <alignment horizontal="center" vertical="center" wrapText="1"/>
    </xf>
    <xf numFmtId="0" fontId="24" fillId="0" borderId="24" xfId="0" applyNumberFormat="1" applyFont="1" applyFill="1" applyBorder="1" applyAlignment="1" applyProtection="1">
      <alignment horizontal="center" vertical="center" wrapText="1"/>
    </xf>
    <xf numFmtId="0" fontId="24" fillId="0" borderId="21" xfId="0" applyNumberFormat="1" applyFont="1" applyFill="1" applyBorder="1" applyAlignment="1" applyProtection="1">
      <alignment horizontal="center" vertical="center" wrapText="1"/>
    </xf>
    <xf numFmtId="0" fontId="24" fillId="0" borderId="18" xfId="0" applyNumberFormat="1" applyFont="1" applyFill="1" applyBorder="1" applyAlignment="1" applyProtection="1">
      <alignment horizontal="center" vertical="center" wrapText="1"/>
    </xf>
    <xf numFmtId="0" fontId="22" fillId="0" borderId="24" xfId="0" applyNumberFormat="1" applyFont="1" applyFill="1" applyBorder="1" applyAlignment="1" applyProtection="1">
      <alignment horizontal="center" vertical="center" wrapText="1"/>
    </xf>
    <xf numFmtId="0" fontId="22" fillId="0" borderId="20" xfId="0" applyNumberFormat="1" applyFont="1" applyFill="1" applyBorder="1" applyAlignment="1" applyProtection="1">
      <alignment horizontal="center" vertical="center" wrapText="1"/>
    </xf>
    <xf numFmtId="0" fontId="24" fillId="0" borderId="26" xfId="0" applyNumberFormat="1" applyFont="1" applyFill="1" applyBorder="1" applyAlignment="1" applyProtection="1">
      <alignment horizontal="center" vertical="center" wrapText="1"/>
    </xf>
    <xf numFmtId="0" fontId="22" fillId="0" borderId="21" xfId="0" applyNumberFormat="1" applyFont="1" applyFill="1" applyBorder="1" applyAlignment="1" applyProtection="1">
      <alignment horizontal="center" vertical="center" wrapText="1" shrinkToFit="1"/>
    </xf>
    <xf numFmtId="0" fontId="22" fillId="0" borderId="20" xfId="0" applyNumberFormat="1" applyFont="1" applyFill="1" applyBorder="1" applyAlignment="1" applyProtection="1">
      <alignment horizontal="center" vertical="center" wrapText="1" shrinkToFit="1"/>
    </xf>
    <xf numFmtId="0" fontId="17" fillId="0" borderId="0" xfId="0" applyNumberFormat="1" applyFont="1" applyAlignment="1">
      <alignment horizontal="center" vertical="center" wrapText="1"/>
    </xf>
    <xf numFmtId="0" fontId="6" fillId="0" borderId="5" xfId="0" applyNumberFormat="1" applyFont="1" applyFill="1" applyBorder="1" applyAlignment="1" applyProtection="1">
      <alignment horizontal="center" vertical="center" wrapText="1"/>
    </xf>
    <xf numFmtId="0" fontId="6" fillId="0" borderId="12" xfId="0" applyNumberFormat="1" applyFont="1" applyFill="1" applyBorder="1" applyAlignment="1" applyProtection="1">
      <alignment horizontal="center" vertical="center" wrapText="1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13" fillId="0" borderId="7" xfId="0" applyNumberFormat="1" applyFont="1" applyFill="1" applyBorder="1" applyAlignment="1" applyProtection="1">
      <alignment horizontal="center" vertical="center" wrapText="1" shrinkToFit="1"/>
    </xf>
    <xf numFmtId="0" fontId="1" fillId="0" borderId="21" xfId="0" applyNumberFormat="1" applyFont="1" applyFill="1" applyBorder="1" applyAlignment="1" applyProtection="1">
      <alignment horizontal="center" vertical="center" wrapText="1"/>
    </xf>
    <xf numFmtId="0" fontId="1" fillId="0" borderId="31" xfId="0" applyNumberFormat="1" applyFont="1" applyFill="1" applyBorder="1" applyAlignment="1" applyProtection="1">
      <alignment horizontal="center" vertical="center" wrapText="1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24" xfId="0" applyNumberFormat="1" applyFont="1" applyFill="1" applyBorder="1" applyAlignment="1" applyProtection="1">
      <alignment horizontal="center" vertical="center" wrapText="1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1" fillId="0" borderId="26" xfId="0" applyNumberFormat="1" applyFont="1" applyFill="1" applyBorder="1" applyAlignment="1" applyProtection="1">
      <alignment horizontal="center" vertical="center" wrapText="1"/>
    </xf>
    <xf numFmtId="0" fontId="1" fillId="0" borderId="18" xfId="0" applyNumberFormat="1" applyFont="1" applyBorder="1" applyAlignment="1">
      <alignment horizontal="center" vertical="center" wrapText="1"/>
    </xf>
    <xf numFmtId="176" fontId="1" fillId="0" borderId="21" xfId="0" applyNumberFormat="1" applyFont="1" applyFill="1" applyBorder="1" applyAlignment="1" applyProtection="1">
      <alignment horizontal="center" vertical="center" wrapText="1"/>
    </xf>
    <xf numFmtId="0" fontId="1" fillId="0" borderId="26" xfId="0" applyNumberFormat="1" applyFont="1" applyBorder="1" applyAlignment="1">
      <alignment horizontal="center" vertical="center" wrapText="1"/>
    </xf>
    <xf numFmtId="0" fontId="1" fillId="0" borderId="20" xfId="0" applyNumberFormat="1" applyFont="1" applyFill="1" applyBorder="1" applyAlignment="1" applyProtection="1">
      <alignment horizontal="center" vertical="center" wrapText="1"/>
    </xf>
    <xf numFmtId="176" fontId="1" fillId="0" borderId="20" xfId="0" applyNumberFormat="1" applyFont="1" applyFill="1" applyBorder="1" applyAlignment="1" applyProtection="1">
      <alignment horizontal="center" vertical="center" wrapText="1"/>
    </xf>
    <xf numFmtId="176" fontId="1" fillId="0" borderId="18" xfId="0" applyNumberFormat="1" applyFont="1" applyFill="1" applyBorder="1" applyAlignment="1" applyProtection="1">
      <alignment horizontal="center" vertical="center" wrapText="1"/>
    </xf>
    <xf numFmtId="0" fontId="32" fillId="0" borderId="20" xfId="0" applyNumberFormat="1" applyFont="1" applyBorder="1" applyAlignment="1">
      <alignment horizontal="center" vertical="center" wrapText="1"/>
    </xf>
    <xf numFmtId="0" fontId="33" fillId="0" borderId="20" xfId="0" applyNumberFormat="1" applyFont="1" applyBorder="1" applyAlignment="1">
      <alignment horizontal="center" vertical="center" wrapText="1"/>
    </xf>
    <xf numFmtId="0" fontId="31" fillId="0" borderId="20" xfId="0" applyNumberFormat="1" applyFont="1" applyBorder="1" applyAlignment="1">
      <alignment horizontal="center" vertical="center" wrapText="1"/>
    </xf>
    <xf numFmtId="0" fontId="19" fillId="4" borderId="16" xfId="0" applyNumberFormat="1" applyFont="1" applyFill="1" applyBorder="1" applyAlignment="1" applyProtection="1">
      <alignment horizontal="center" vertical="center" wrapText="1"/>
    </xf>
    <xf numFmtId="177" fontId="19" fillId="4" borderId="16" xfId="0" applyNumberFormat="1" applyFont="1" applyFill="1" applyBorder="1" applyAlignment="1" applyProtection="1">
      <alignment horizontal="center" vertical="center" wrapText="1"/>
    </xf>
    <xf numFmtId="0" fontId="19" fillId="4" borderId="18" xfId="0" applyNumberFormat="1" applyFont="1" applyFill="1" applyBorder="1" applyAlignment="1" applyProtection="1">
      <alignment horizontal="center" vertical="center" wrapText="1"/>
    </xf>
    <xf numFmtId="0" fontId="19" fillId="4" borderId="23" xfId="0" applyNumberFormat="1" applyFont="1" applyFill="1" applyBorder="1" applyAlignment="1" applyProtection="1">
      <alignment horizontal="center" vertical="center" wrapText="1"/>
    </xf>
    <xf numFmtId="0" fontId="19" fillId="4" borderId="24" xfId="0" applyNumberFormat="1" applyFont="1" applyFill="1" applyBorder="1" applyAlignment="1" applyProtection="1">
      <alignment horizontal="center" vertical="center" wrapText="1"/>
    </xf>
    <xf numFmtId="0" fontId="19" fillId="4" borderId="21" xfId="0" quotePrefix="1" applyNumberFormat="1" applyFont="1" applyFill="1" applyBorder="1" applyAlignment="1" applyProtection="1">
      <alignment horizontal="center" vertical="center" wrapText="1"/>
    </xf>
    <xf numFmtId="0" fontId="19" fillId="4" borderId="18" xfId="0" quotePrefix="1" applyNumberFormat="1" applyFont="1" applyFill="1" applyBorder="1" applyAlignment="1" applyProtection="1">
      <alignment horizontal="center" vertical="center" wrapText="1"/>
    </xf>
    <xf numFmtId="0" fontId="19" fillId="4" borderId="31" xfId="0" applyNumberFormat="1" applyFont="1" applyFill="1" applyBorder="1" applyAlignment="1" applyProtection="1">
      <alignment horizontal="center" vertical="center" wrapText="1"/>
    </xf>
    <xf numFmtId="0" fontId="19" fillId="4" borderId="31" xfId="0" quotePrefix="1" applyNumberFormat="1" applyFont="1" applyFill="1" applyBorder="1" applyAlignment="1" applyProtection="1">
      <alignment horizontal="center" vertical="center" wrapText="1"/>
    </xf>
    <xf numFmtId="0" fontId="26" fillId="4" borderId="21" xfId="0" applyNumberFormat="1" applyFont="1" applyFill="1" applyBorder="1" applyAlignment="1" applyProtection="1">
      <alignment horizontal="center" vertical="center" wrapText="1"/>
    </xf>
    <xf numFmtId="0" fontId="26" fillId="4" borderId="31" xfId="0" applyNumberFormat="1" applyFont="1" applyFill="1" applyBorder="1" applyAlignment="1" applyProtection="1">
      <alignment horizontal="center" vertical="center" wrapText="1"/>
    </xf>
    <xf numFmtId="0" fontId="26" fillId="4" borderId="18" xfId="0" applyNumberFormat="1" applyFont="1" applyFill="1" applyBorder="1" applyAlignment="1" applyProtection="1">
      <alignment horizontal="center" vertical="center" wrapText="1"/>
    </xf>
    <xf numFmtId="0" fontId="26" fillId="4" borderId="24" xfId="0" applyNumberFormat="1" applyFont="1" applyFill="1" applyBorder="1" applyAlignment="1" applyProtection="1">
      <alignment horizontal="center" vertical="center" wrapText="1"/>
    </xf>
    <xf numFmtId="0" fontId="26" fillId="4" borderId="20" xfId="0" applyNumberFormat="1" applyFont="1" applyFill="1" applyBorder="1" applyAlignment="1" applyProtection="1">
      <alignment horizontal="center" vertical="center" wrapText="1"/>
    </xf>
    <xf numFmtId="0" fontId="26" fillId="4" borderId="26" xfId="0" applyNumberFormat="1" applyFont="1" applyFill="1" applyBorder="1" applyAlignment="1" applyProtection="1">
      <alignment horizontal="center" vertical="center" wrapText="1"/>
    </xf>
    <xf numFmtId="0" fontId="10" fillId="4" borderId="5" xfId="0" applyNumberFormat="1" applyFont="1" applyFill="1" applyBorder="1" applyAlignment="1" applyProtection="1">
      <alignment horizontal="center" vertical="center" wrapText="1"/>
    </xf>
    <xf numFmtId="0" fontId="18" fillId="4" borderId="18" xfId="0" applyNumberFormat="1" applyFont="1" applyFill="1" applyBorder="1" applyAlignment="1" applyProtection="1">
      <alignment horizontal="center" vertical="center" wrapText="1"/>
    </xf>
    <xf numFmtId="0" fontId="19" fillId="4" borderId="24" xfId="0" applyFont="1" applyFill="1" applyBorder="1" applyAlignment="1">
      <alignment horizontal="center" vertical="center" wrapText="1"/>
    </xf>
    <xf numFmtId="0" fontId="26" fillId="4" borderId="24" xfId="0" applyFont="1" applyFill="1" applyBorder="1" applyAlignment="1">
      <alignment horizontal="center" vertical="center" wrapText="1"/>
    </xf>
    <xf numFmtId="0" fontId="6" fillId="0" borderId="22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17" fillId="0" borderId="32" xfId="0" applyNumberFormat="1" applyFont="1" applyBorder="1" applyAlignment="1">
      <alignment horizontal="center" vertical="center" wrapText="1"/>
    </xf>
    <xf numFmtId="0" fontId="6" fillId="0" borderId="24" xfId="0" applyNumberFormat="1" applyFont="1" applyFill="1" applyBorder="1" applyAlignment="1" applyProtection="1">
      <alignment horizontal="center" vertical="center" wrapText="1"/>
    </xf>
    <xf numFmtId="0" fontId="17" fillId="0" borderId="26" xfId="0" applyNumberFormat="1" applyFont="1" applyBorder="1" applyAlignment="1">
      <alignment horizontal="center" vertical="center" wrapText="1"/>
    </xf>
    <xf numFmtId="0" fontId="6" fillId="0" borderId="25" xfId="0" applyNumberFormat="1" applyFont="1" applyFill="1" applyBorder="1" applyAlignment="1" applyProtection="1">
      <alignment horizontal="center" vertical="center" wrapText="1"/>
    </xf>
    <xf numFmtId="0" fontId="17" fillId="0" borderId="15" xfId="0" applyNumberFormat="1" applyFont="1" applyBorder="1" applyAlignment="1">
      <alignment horizontal="center" vertical="center" wrapText="1"/>
    </xf>
    <xf numFmtId="0" fontId="6" fillId="0" borderId="32" xfId="0" applyNumberFormat="1" applyFont="1" applyFill="1" applyBorder="1" applyAlignment="1" applyProtection="1">
      <alignment horizontal="center" vertical="center" wrapText="1"/>
    </xf>
    <xf numFmtId="0" fontId="6" fillId="0" borderId="34" xfId="0" applyNumberFormat="1" applyFont="1" applyFill="1" applyBorder="1" applyAlignment="1" applyProtection="1">
      <alignment horizontal="center" vertical="center" wrapText="1"/>
    </xf>
    <xf numFmtId="0" fontId="2" fillId="0" borderId="27" xfId="0" applyNumberFormat="1" applyFont="1" applyFill="1" applyBorder="1" applyAlignment="1" applyProtection="1">
      <alignment horizontal="center" vertical="center"/>
    </xf>
    <xf numFmtId="0" fontId="2" fillId="0" borderId="28" xfId="0" applyNumberFormat="1" applyFont="1" applyFill="1" applyBorder="1" applyAlignment="1" applyProtection="1">
      <alignment horizontal="center" vertical="center"/>
    </xf>
    <xf numFmtId="0" fontId="2" fillId="0" borderId="29" xfId="0" applyNumberFormat="1" applyFont="1" applyFill="1" applyBorder="1" applyAlignment="1" applyProtection="1">
      <alignment horizontal="center" vertical="center"/>
    </xf>
    <xf numFmtId="0" fontId="4" fillId="0" borderId="13" xfId="0" applyNumberFormat="1" applyFont="1" applyFill="1" applyBorder="1" applyAlignment="1" applyProtection="1">
      <alignment horizontal="center"/>
    </xf>
    <xf numFmtId="0" fontId="4" fillId="0" borderId="30" xfId="0" applyNumberFormat="1" applyFont="1" applyFill="1" applyBorder="1" applyAlignment="1" applyProtection="1">
      <alignment horizontal="center"/>
    </xf>
    <xf numFmtId="0" fontId="4" fillId="2" borderId="3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0" fillId="0" borderId="26" xfId="0" applyNumberFormat="1" applyBorder="1" applyAlignment="1">
      <alignment horizontal="center" vertical="center" wrapText="1"/>
    </xf>
    <xf numFmtId="0" fontId="0" fillId="0" borderId="35" xfId="0" applyNumberFormat="1" applyBorder="1" applyAlignment="1">
      <alignment horizontal="center" vertical="center" wrapText="1"/>
    </xf>
    <xf numFmtId="0" fontId="15" fillId="2" borderId="1" xfId="0" applyNumberFormat="1" applyFont="1" applyFill="1" applyBorder="1" applyAlignment="1" applyProtection="1">
      <alignment horizontal="center" vertical="center" wrapText="1"/>
    </xf>
    <xf numFmtId="0" fontId="15" fillId="2" borderId="7" xfId="0" applyNumberFormat="1" applyFont="1" applyFill="1" applyBorder="1" applyAlignment="1" applyProtection="1">
      <alignment horizontal="center" vertical="center" wrapText="1"/>
    </xf>
    <xf numFmtId="0" fontId="4" fillId="2" borderId="9" xfId="0" applyNumberFormat="1" applyFont="1" applyFill="1" applyBorder="1" applyAlignment="1" applyProtection="1">
      <alignment horizontal="center" vertical="center" wrapText="1"/>
    </xf>
    <xf numFmtId="0" fontId="4" fillId="2" borderId="9" xfId="0" applyNumberFormat="1" applyFont="1" applyFill="1" applyBorder="1" applyAlignment="1" applyProtection="1">
      <alignment horizontal="center" vertical="center"/>
    </xf>
    <xf numFmtId="0" fontId="4" fillId="2" borderId="10" xfId="0" applyNumberFormat="1" applyFont="1" applyFill="1" applyBorder="1" applyAlignment="1" applyProtection="1">
      <alignment horizontal="center" vertical="center"/>
    </xf>
    <xf numFmtId="0" fontId="6" fillId="0" borderId="19" xfId="0" applyNumberFormat="1" applyFont="1" applyFill="1" applyBorder="1" applyAlignment="1" applyProtection="1">
      <alignment horizontal="center" vertical="center" wrapText="1"/>
    </xf>
    <xf numFmtId="0" fontId="1" fillId="0" borderId="21" xfId="0" applyNumberFormat="1" applyFont="1" applyFill="1" applyBorder="1" applyAlignment="1" applyProtection="1">
      <alignment horizontal="center" vertical="center" wrapText="1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24" xfId="0" applyNumberFormat="1" applyFont="1" applyFill="1" applyBorder="1" applyAlignment="1" applyProtection="1">
      <alignment horizontal="center" vertical="center" wrapText="1"/>
    </xf>
    <xf numFmtId="0" fontId="6" fillId="0" borderId="17" xfId="0" applyNumberFormat="1" applyFont="1" applyFill="1" applyBorder="1" applyAlignment="1" applyProtection="1">
      <alignment horizontal="center" vertical="center" wrapText="1"/>
    </xf>
    <xf numFmtId="0" fontId="1" fillId="0" borderId="40" xfId="0" applyNumberFormat="1" applyFont="1" applyFill="1" applyBorder="1" applyAlignment="1" applyProtection="1">
      <alignment horizontal="center" vertical="center" wrapText="1"/>
    </xf>
    <xf numFmtId="0" fontId="0" fillId="0" borderId="39" xfId="0" applyNumberFormat="1" applyBorder="1" applyAlignment="1">
      <alignment horizontal="center" vertical="center" wrapText="1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6" fillId="0" borderId="16" xfId="0" applyNumberFormat="1" applyFont="1" applyFill="1" applyBorder="1" applyAlignment="1" applyProtection="1">
      <alignment horizontal="center" vertical="center" wrapText="1"/>
    </xf>
    <xf numFmtId="0" fontId="6" fillId="0" borderId="18" xfId="0" applyNumberFormat="1" applyFont="1" applyFill="1" applyBorder="1" applyAlignment="1" applyProtection="1">
      <alignment horizontal="center" vertical="center" wrapText="1"/>
    </xf>
    <xf numFmtId="0" fontId="6" fillId="0" borderId="21" xfId="0" applyNumberFormat="1" applyFont="1" applyFill="1" applyBorder="1" applyAlignment="1" applyProtection="1">
      <alignment horizontal="center" vertical="center" wrapText="1"/>
    </xf>
    <xf numFmtId="0" fontId="1" fillId="0" borderId="31" xfId="0" applyNumberFormat="1" applyFont="1" applyFill="1" applyBorder="1" applyAlignment="1" applyProtection="1">
      <alignment horizontal="center" vertical="center" wrapText="1"/>
    </xf>
    <xf numFmtId="0" fontId="6" fillId="0" borderId="31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26" xfId="0" applyNumberFormat="1" applyFont="1" applyFill="1" applyBorder="1" applyAlignment="1" applyProtection="1">
      <alignment horizontal="center" vertical="center" wrapText="1"/>
    </xf>
    <xf numFmtId="0" fontId="1" fillId="0" borderId="33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26" xfId="0" applyNumberFormat="1" applyFont="1" applyFill="1" applyBorder="1" applyAlignment="1" applyProtection="1">
      <alignment horizontal="center" vertical="center" wrapText="1"/>
    </xf>
    <xf numFmtId="0" fontId="6" fillId="0" borderId="33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7" fillId="0" borderId="31" xfId="0" applyNumberFormat="1" applyFont="1" applyBorder="1" applyAlignment="1">
      <alignment horizontal="center" vertical="center" wrapText="1"/>
    </xf>
    <xf numFmtId="0" fontId="5" fillId="3" borderId="4" xfId="0" applyNumberFormat="1" applyFont="1" applyFill="1" applyBorder="1" applyAlignment="1" applyProtection="1">
      <alignment horizontal="center" vertical="center" wrapText="1"/>
    </xf>
    <xf numFmtId="0" fontId="5" fillId="3" borderId="5" xfId="0" applyNumberFormat="1" applyFont="1" applyFill="1" applyBorder="1" applyAlignment="1" applyProtection="1">
      <alignment horizontal="center" vertical="center" wrapText="1"/>
    </xf>
    <xf numFmtId="0" fontId="1" fillId="3" borderId="5" xfId="0" applyNumberFormat="1" applyFont="1" applyFill="1" applyBorder="1" applyAlignment="1" applyProtection="1">
      <alignment horizontal="center" vertical="center"/>
    </xf>
    <xf numFmtId="0" fontId="5" fillId="3" borderId="6" xfId="0" applyNumberFormat="1" applyFont="1" applyFill="1" applyBorder="1" applyAlignment="1" applyProtection="1">
      <alignment horizontal="center" vertical="center" wrapText="1"/>
    </xf>
    <xf numFmtId="0" fontId="5" fillId="3" borderId="2" xfId="0" applyNumberFormat="1" applyFont="1" applyFill="1" applyBorder="1" applyAlignment="1" applyProtection="1">
      <alignment horizontal="center" vertical="center" wrapText="1"/>
    </xf>
    <xf numFmtId="0" fontId="5" fillId="3" borderId="3" xfId="0" applyNumberFormat="1" applyFont="1" applyFill="1" applyBorder="1" applyAlignment="1" applyProtection="1">
      <alignment horizontal="center" vertical="center"/>
    </xf>
    <xf numFmtId="0" fontId="5" fillId="3" borderId="1" xfId="0" applyNumberFormat="1" applyFont="1" applyFill="1" applyBorder="1" applyAlignment="1" applyProtection="1">
      <alignment horizontal="center" vertical="center"/>
    </xf>
    <xf numFmtId="0" fontId="1" fillId="0" borderId="39" xfId="0" applyNumberFormat="1" applyFont="1" applyFill="1" applyBorder="1" applyAlignment="1" applyProtection="1">
      <alignment horizontal="center" vertical="center" wrapText="1"/>
    </xf>
    <xf numFmtId="0" fontId="10" fillId="0" borderId="7" xfId="0" applyNumberFormat="1" applyFont="1" applyFill="1" applyBorder="1" applyAlignment="1" applyProtection="1">
      <alignment horizontal="center" vertical="center" wrapText="1"/>
    </xf>
    <xf numFmtId="0" fontId="0" fillId="0" borderId="31" xfId="0" applyNumberFormat="1" applyBorder="1" applyAlignment="1">
      <alignment horizontal="center" vertical="center" wrapText="1"/>
    </xf>
    <xf numFmtId="0" fontId="0" fillId="0" borderId="15" xfId="0" applyNumberFormat="1" applyBorder="1" applyAlignment="1">
      <alignment horizontal="center" vertical="center" wrapText="1"/>
    </xf>
    <xf numFmtId="0" fontId="1" fillId="0" borderId="38" xfId="0" applyNumberFormat="1" applyFont="1" applyFill="1" applyBorder="1" applyAlignment="1" applyProtection="1">
      <alignment horizontal="center" vertical="center" wrapText="1"/>
    </xf>
    <xf numFmtId="0" fontId="1" fillId="0" borderId="37" xfId="0" applyNumberFormat="1" applyFont="1" applyFill="1" applyBorder="1" applyAlignment="1" applyProtection="1">
      <alignment horizontal="center" vertical="center" wrapText="1"/>
    </xf>
    <xf numFmtId="0" fontId="0" fillId="0" borderId="37" xfId="0" applyNumberFormat="1" applyBorder="1" applyAlignment="1">
      <alignment horizontal="center" vertical="center" wrapText="1"/>
    </xf>
    <xf numFmtId="0" fontId="0" fillId="0" borderId="36" xfId="0" applyNumberFormat="1" applyBorder="1" applyAlignment="1">
      <alignment horizontal="center" vertical="center" wrapText="1"/>
    </xf>
    <xf numFmtId="0" fontId="0" fillId="0" borderId="33" xfId="0" applyNumberFormat="1" applyBorder="1" applyAlignment="1">
      <alignment horizontal="center" vertical="center" wrapText="1"/>
    </xf>
    <xf numFmtId="0" fontId="0" fillId="0" borderId="34" xfId="0" applyNumberFormat="1" applyBorder="1" applyAlignment="1">
      <alignment horizontal="center" vertical="center" wrapText="1"/>
    </xf>
  </cellXfs>
  <cellStyles count="2">
    <cellStyle name="표준" xfId="0" builtinId="0"/>
    <cellStyle name="표준 2" xfId="1" xr:uid="{F7845634-3D87-44CF-AE6C-AE628DBCE602}"/>
  </cellStyles>
  <dxfs count="0"/>
  <tableStyles count="0" defaultTableStyle="TableStyleMedium9" defaultPivotStyle="PivotStyleLight16"/>
  <colors>
    <mruColors>
      <color rgb="FFEFFDFF"/>
      <color rgb="FFFDFDE9"/>
      <color rgb="FFF0F1DB"/>
      <color rgb="FFECED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A92D1-3FA2-4B7A-9C56-FC533936098D}">
  <sheetPr>
    <pageSetUpPr fitToPage="1"/>
  </sheetPr>
  <dimension ref="A1:Q57"/>
  <sheetViews>
    <sheetView tabSelected="1" view="pageBreakPreview" zoomScale="85" zoomScaleNormal="85" zoomScaleSheetLayoutView="85" workbookViewId="0">
      <pane xSplit="2" ySplit="5" topLeftCell="C23" activePane="bottomRight" state="frozen"/>
      <selection pane="topRight" activeCell="D1" sqref="D1"/>
      <selection pane="bottomLeft" activeCell="A6" sqref="A6"/>
      <selection pane="bottomRight" activeCell="I37" sqref="I37"/>
    </sheetView>
  </sheetViews>
  <sheetFormatPr defaultColWidth="8.88671875" defaultRowHeight="13.5" x14ac:dyDescent="0.15"/>
  <cols>
    <col min="1" max="1" width="3.5546875" style="1" customWidth="1"/>
    <col min="2" max="2" width="9.109375" style="1" customWidth="1"/>
    <col min="3" max="3" width="45.33203125" style="1" customWidth="1"/>
    <col min="4" max="4" width="7" style="1" customWidth="1"/>
    <col min="5" max="5" width="11" style="21" customWidth="1"/>
    <col min="6" max="13" width="4.77734375" style="1" customWidth="1"/>
    <col min="14" max="14" width="5.77734375" style="1" customWidth="1"/>
    <col min="15" max="15" width="5.5546875" style="1" customWidth="1"/>
    <col min="16" max="16" width="30.6640625" style="1" customWidth="1"/>
    <col min="17" max="16384" width="8.88671875" style="1"/>
  </cols>
  <sheetData>
    <row r="1" spans="1:16" ht="39.75" customHeight="1" thickBot="1" x14ac:dyDescent="0.2">
      <c r="A1" s="99" t="s">
        <v>83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1"/>
      <c r="P1" s="6"/>
    </row>
    <row r="2" spans="1:16" ht="24" customHeight="1" x14ac:dyDescent="0.3">
      <c r="A2" s="2" t="s">
        <v>14</v>
      </c>
      <c r="B2" s="3"/>
      <c r="C2" s="3"/>
      <c r="D2" s="3"/>
      <c r="E2" s="20"/>
      <c r="F2" s="3"/>
      <c r="G2" s="3"/>
      <c r="H2" s="3"/>
      <c r="I2" s="3"/>
      <c r="J2" s="102" t="s">
        <v>21</v>
      </c>
      <c r="K2" s="102"/>
      <c r="L2" s="102"/>
      <c r="M2" s="102"/>
      <c r="N2" s="102"/>
      <c r="O2" s="103"/>
      <c r="P2" s="5"/>
    </row>
    <row r="3" spans="1:16" ht="13.5" customHeight="1" x14ac:dyDescent="0.15">
      <c r="A3" s="104" t="s">
        <v>5</v>
      </c>
      <c r="B3" s="107" t="s">
        <v>10</v>
      </c>
      <c r="C3" s="109" t="s">
        <v>15</v>
      </c>
      <c r="D3" s="110" t="s">
        <v>13</v>
      </c>
      <c r="E3" s="113" t="s">
        <v>12</v>
      </c>
      <c r="F3" s="109" t="s">
        <v>42</v>
      </c>
      <c r="G3" s="109" t="s">
        <v>40</v>
      </c>
      <c r="H3" s="107" t="s">
        <v>2</v>
      </c>
      <c r="I3" s="107"/>
      <c r="J3" s="107" t="s">
        <v>8</v>
      </c>
      <c r="K3" s="107"/>
      <c r="L3" s="107" t="s">
        <v>7</v>
      </c>
      <c r="M3" s="107"/>
      <c r="N3" s="109" t="s">
        <v>17</v>
      </c>
      <c r="O3" s="115" t="s">
        <v>41</v>
      </c>
      <c r="P3" s="5"/>
    </row>
    <row r="4" spans="1:16" x14ac:dyDescent="0.15">
      <c r="A4" s="105"/>
      <c r="B4" s="107"/>
      <c r="C4" s="109"/>
      <c r="D4" s="111"/>
      <c r="E4" s="113"/>
      <c r="F4" s="109"/>
      <c r="G4" s="109"/>
      <c r="H4" s="107" t="s">
        <v>0</v>
      </c>
      <c r="I4" s="107" t="s">
        <v>3</v>
      </c>
      <c r="J4" s="107" t="s">
        <v>0</v>
      </c>
      <c r="K4" s="107" t="s">
        <v>3</v>
      </c>
      <c r="L4" s="107" t="s">
        <v>0</v>
      </c>
      <c r="M4" s="107" t="s">
        <v>3</v>
      </c>
      <c r="N4" s="107"/>
      <c r="O4" s="116"/>
      <c r="P4" s="5"/>
    </row>
    <row r="5" spans="1:16" ht="14.25" thickBot="1" x14ac:dyDescent="0.2">
      <c r="A5" s="106"/>
      <c r="B5" s="108"/>
      <c r="C5" s="110"/>
      <c r="D5" s="112"/>
      <c r="E5" s="114"/>
      <c r="F5" s="110"/>
      <c r="G5" s="110"/>
      <c r="H5" s="108"/>
      <c r="I5" s="108"/>
      <c r="J5" s="108"/>
      <c r="K5" s="108"/>
      <c r="L5" s="108"/>
      <c r="M5" s="108"/>
      <c r="N5" s="108"/>
      <c r="O5" s="117"/>
      <c r="P5" s="5"/>
    </row>
    <row r="6" spans="1:16" s="7" customFormat="1" ht="18" customHeight="1" x14ac:dyDescent="0.15">
      <c r="A6" s="123" t="s">
        <v>9</v>
      </c>
      <c r="B6" s="125" t="s">
        <v>6</v>
      </c>
      <c r="C6" s="35" t="s">
        <v>47</v>
      </c>
      <c r="D6" s="35" t="s">
        <v>16</v>
      </c>
      <c r="E6" s="18" t="s">
        <v>53</v>
      </c>
      <c r="F6" s="59">
        <v>4</v>
      </c>
      <c r="G6" s="59">
        <f>SUM(H6:M6)</f>
        <v>3</v>
      </c>
      <c r="H6" s="70">
        <v>3</v>
      </c>
      <c r="I6" s="70"/>
      <c r="J6" s="71"/>
      <c r="K6" s="70"/>
      <c r="L6" s="70"/>
      <c r="M6" s="70"/>
      <c r="N6" s="126">
        <f>SUM(H6:M10)</f>
        <v>19</v>
      </c>
      <c r="O6" s="122">
        <v>8</v>
      </c>
      <c r="P6" s="6"/>
    </row>
    <row r="7" spans="1:16" s="7" customFormat="1" ht="18" customHeight="1" x14ac:dyDescent="0.15">
      <c r="A7" s="124"/>
      <c r="B7" s="120"/>
      <c r="C7" s="36" t="s">
        <v>48</v>
      </c>
      <c r="D7" s="36" t="s">
        <v>16</v>
      </c>
      <c r="E7" s="10" t="s">
        <v>53</v>
      </c>
      <c r="F7" s="57">
        <v>4</v>
      </c>
      <c r="G7" s="57">
        <f>SUM(H7:M7)</f>
        <v>4</v>
      </c>
      <c r="H7" s="72"/>
      <c r="I7" s="72">
        <v>4</v>
      </c>
      <c r="J7" s="72"/>
      <c r="K7" s="72"/>
      <c r="L7" s="72"/>
      <c r="M7" s="72"/>
      <c r="N7" s="127"/>
      <c r="O7" s="118"/>
      <c r="P7" s="5"/>
    </row>
    <row r="8" spans="1:16" s="7" customFormat="1" ht="18" customHeight="1" x14ac:dyDescent="0.15">
      <c r="A8" s="124"/>
      <c r="B8" s="120"/>
      <c r="C8" s="8" t="s">
        <v>54</v>
      </c>
      <c r="D8" s="10" t="s">
        <v>16</v>
      </c>
      <c r="E8" s="10" t="s">
        <v>38</v>
      </c>
      <c r="F8" s="57">
        <v>4</v>
      </c>
      <c r="G8" s="57">
        <f t="shared" ref="G8:G9" si="0">SUM(H8:M8)</f>
        <v>4</v>
      </c>
      <c r="H8" s="72"/>
      <c r="I8" s="72"/>
      <c r="J8" s="72">
        <v>4</v>
      </c>
      <c r="K8" s="72"/>
      <c r="L8" s="72"/>
      <c r="M8" s="72"/>
      <c r="N8" s="127"/>
      <c r="O8" s="118"/>
      <c r="P8" s="5"/>
    </row>
    <row r="9" spans="1:16" s="7" customFormat="1" ht="18" customHeight="1" x14ac:dyDescent="0.15">
      <c r="A9" s="124"/>
      <c r="B9" s="120"/>
      <c r="C9" s="8" t="s">
        <v>80</v>
      </c>
      <c r="D9" s="10" t="s">
        <v>16</v>
      </c>
      <c r="E9" s="10" t="s">
        <v>38</v>
      </c>
      <c r="F9" s="57">
        <v>4</v>
      </c>
      <c r="G9" s="57">
        <f t="shared" si="0"/>
        <v>4</v>
      </c>
      <c r="H9" s="72"/>
      <c r="I9" s="72"/>
      <c r="J9" s="72"/>
      <c r="K9" s="72">
        <v>4</v>
      </c>
      <c r="L9" s="72"/>
      <c r="M9" s="72"/>
      <c r="N9" s="127"/>
      <c r="O9" s="118"/>
      <c r="P9" s="5"/>
    </row>
    <row r="10" spans="1:16" s="7" customFormat="1" ht="18" customHeight="1" x14ac:dyDescent="0.15">
      <c r="A10" s="124"/>
      <c r="B10" s="120"/>
      <c r="C10" s="8" t="s">
        <v>81</v>
      </c>
      <c r="D10" s="10" t="s">
        <v>16</v>
      </c>
      <c r="E10" s="10" t="s">
        <v>38</v>
      </c>
      <c r="F10" s="57">
        <v>4</v>
      </c>
      <c r="G10" s="57">
        <f>SUM(H10:M10)</f>
        <v>4</v>
      </c>
      <c r="H10" s="72"/>
      <c r="I10" s="72"/>
      <c r="J10" s="72"/>
      <c r="K10" s="72"/>
      <c r="L10" s="72">
        <v>4</v>
      </c>
      <c r="M10" s="72"/>
      <c r="N10" s="127"/>
      <c r="O10" s="118"/>
      <c r="P10" s="5"/>
    </row>
    <row r="11" spans="1:16" s="7" customFormat="1" ht="18" customHeight="1" x14ac:dyDescent="0.15">
      <c r="A11" s="124"/>
      <c r="B11" s="119" t="s">
        <v>1</v>
      </c>
      <c r="C11" s="33" t="s">
        <v>32</v>
      </c>
      <c r="D11" s="16" t="s">
        <v>16</v>
      </c>
      <c r="E11" s="16" t="s">
        <v>22</v>
      </c>
      <c r="F11" s="55">
        <v>4</v>
      </c>
      <c r="G11" s="55">
        <f>SUM(H11:M11)</f>
        <v>3</v>
      </c>
      <c r="H11" s="38">
        <v>3</v>
      </c>
      <c r="I11" s="38"/>
      <c r="J11" s="38"/>
      <c r="K11" s="38"/>
      <c r="L11" s="38"/>
      <c r="M11" s="38"/>
      <c r="N11" s="128">
        <f>SUM(H11:M15)</f>
        <v>19</v>
      </c>
      <c r="O11" s="89">
        <v>8</v>
      </c>
      <c r="P11" s="11"/>
    </row>
    <row r="12" spans="1:16" s="7" customFormat="1" ht="18" customHeight="1" x14ac:dyDescent="0.15">
      <c r="A12" s="124"/>
      <c r="B12" s="120"/>
      <c r="C12" s="36" t="s">
        <v>33</v>
      </c>
      <c r="D12" s="10" t="s">
        <v>16</v>
      </c>
      <c r="E12" s="10" t="s">
        <v>22</v>
      </c>
      <c r="F12" s="57">
        <v>4</v>
      </c>
      <c r="G12" s="57">
        <f>SUM(H12:M12)</f>
        <v>3</v>
      </c>
      <c r="H12" s="72">
        <v>3</v>
      </c>
      <c r="I12" s="72"/>
      <c r="J12" s="73"/>
      <c r="K12" s="72"/>
      <c r="L12" s="72"/>
      <c r="M12" s="72"/>
      <c r="N12" s="127"/>
      <c r="O12" s="118"/>
      <c r="P12" s="11"/>
    </row>
    <row r="13" spans="1:16" s="7" customFormat="1" ht="18" customHeight="1" x14ac:dyDescent="0.15">
      <c r="A13" s="124"/>
      <c r="B13" s="120"/>
      <c r="C13" s="8" t="s">
        <v>35</v>
      </c>
      <c r="D13" s="10" t="s">
        <v>16</v>
      </c>
      <c r="E13" s="10" t="s">
        <v>23</v>
      </c>
      <c r="F13" s="57">
        <v>4</v>
      </c>
      <c r="G13" s="57">
        <f t="shared" ref="G13:G15" si="1">SUM(H13:M13)</f>
        <v>5</v>
      </c>
      <c r="H13" s="72"/>
      <c r="I13" s="72">
        <v>5</v>
      </c>
      <c r="J13" s="72"/>
      <c r="K13" s="72"/>
      <c r="L13" s="72"/>
      <c r="M13" s="72"/>
      <c r="N13" s="127"/>
      <c r="O13" s="118"/>
      <c r="P13" s="11"/>
    </row>
    <row r="14" spans="1:16" s="7" customFormat="1" ht="18" customHeight="1" x14ac:dyDescent="0.15">
      <c r="A14" s="124"/>
      <c r="B14" s="121"/>
      <c r="C14" s="9" t="s">
        <v>36</v>
      </c>
      <c r="D14" s="34" t="s">
        <v>16</v>
      </c>
      <c r="E14" s="34" t="s">
        <v>23</v>
      </c>
      <c r="F14" s="58">
        <v>4</v>
      </c>
      <c r="G14" s="57">
        <f t="shared" si="1"/>
        <v>4</v>
      </c>
      <c r="H14" s="74"/>
      <c r="I14" s="74"/>
      <c r="J14" s="74">
        <v>4</v>
      </c>
      <c r="K14" s="74"/>
      <c r="L14" s="74"/>
      <c r="M14" s="74"/>
      <c r="N14" s="93"/>
      <c r="O14" s="95"/>
      <c r="P14" s="11"/>
    </row>
    <row r="15" spans="1:16" s="7" customFormat="1" ht="18" customHeight="1" x14ac:dyDescent="0.15">
      <c r="A15" s="124"/>
      <c r="B15" s="121"/>
      <c r="C15" s="9" t="s">
        <v>37</v>
      </c>
      <c r="D15" s="34" t="s">
        <v>34</v>
      </c>
      <c r="E15" s="34" t="s">
        <v>38</v>
      </c>
      <c r="F15" s="58">
        <v>4</v>
      </c>
      <c r="G15" s="57">
        <f t="shared" si="1"/>
        <v>4</v>
      </c>
      <c r="H15" s="74"/>
      <c r="I15" s="74"/>
      <c r="J15" s="74"/>
      <c r="K15" s="74">
        <v>4</v>
      </c>
      <c r="L15" s="74"/>
      <c r="M15" s="74"/>
      <c r="N15" s="93"/>
      <c r="O15" s="95"/>
      <c r="P15" s="11"/>
    </row>
    <row r="16" spans="1:16" s="7" customFormat="1" ht="18" customHeight="1" x14ac:dyDescent="0.15">
      <c r="A16" s="124"/>
      <c r="B16" s="119" t="s">
        <v>4</v>
      </c>
      <c r="C16" s="33" t="s">
        <v>49</v>
      </c>
      <c r="D16" s="16" t="s">
        <v>16</v>
      </c>
      <c r="E16" s="16" t="s">
        <v>53</v>
      </c>
      <c r="F16" s="55">
        <v>4</v>
      </c>
      <c r="G16" s="55">
        <f t="shared" ref="G16:G22" si="2">SUM(H16:M16)</f>
        <v>3</v>
      </c>
      <c r="H16" s="38">
        <v>3</v>
      </c>
      <c r="I16" s="38"/>
      <c r="J16" s="38"/>
      <c r="K16" s="38"/>
      <c r="L16" s="38"/>
      <c r="M16" s="38"/>
      <c r="N16" s="128">
        <f>SUM(H16:M20)</f>
        <v>19</v>
      </c>
      <c r="O16" s="89">
        <v>8</v>
      </c>
      <c r="P16" s="11"/>
    </row>
    <row r="17" spans="1:16" s="7" customFormat="1" ht="18" customHeight="1" x14ac:dyDescent="0.15">
      <c r="A17" s="124"/>
      <c r="B17" s="120"/>
      <c r="C17" s="36" t="s">
        <v>50</v>
      </c>
      <c r="D17" s="10" t="s">
        <v>16</v>
      </c>
      <c r="E17" s="10" t="s">
        <v>53</v>
      </c>
      <c r="F17" s="57">
        <v>4</v>
      </c>
      <c r="G17" s="57">
        <f t="shared" si="2"/>
        <v>4</v>
      </c>
      <c r="H17" s="72"/>
      <c r="I17" s="72">
        <v>4</v>
      </c>
      <c r="J17" s="72"/>
      <c r="K17" s="72"/>
      <c r="L17" s="72"/>
      <c r="M17" s="72"/>
      <c r="N17" s="127"/>
      <c r="O17" s="118"/>
      <c r="P17" s="11"/>
    </row>
    <row r="18" spans="1:16" s="7" customFormat="1" ht="18" customHeight="1" x14ac:dyDescent="0.15">
      <c r="A18" s="124"/>
      <c r="B18" s="120"/>
      <c r="C18" s="8" t="s">
        <v>55</v>
      </c>
      <c r="D18" s="10" t="s">
        <v>16</v>
      </c>
      <c r="E18" s="10" t="s">
        <v>38</v>
      </c>
      <c r="F18" s="57">
        <v>4</v>
      </c>
      <c r="G18" s="57">
        <f t="shared" si="2"/>
        <v>4</v>
      </c>
      <c r="H18" s="72"/>
      <c r="I18" s="72"/>
      <c r="J18" s="72">
        <v>4</v>
      </c>
      <c r="K18" s="72"/>
      <c r="L18" s="72"/>
      <c r="M18" s="72"/>
      <c r="N18" s="127"/>
      <c r="O18" s="118"/>
      <c r="P18" s="11"/>
    </row>
    <row r="19" spans="1:16" s="7" customFormat="1" ht="18" customHeight="1" x14ac:dyDescent="0.15">
      <c r="A19" s="124"/>
      <c r="B19" s="121"/>
      <c r="C19" s="9" t="s">
        <v>25</v>
      </c>
      <c r="D19" s="34" t="s">
        <v>16</v>
      </c>
      <c r="E19" s="34" t="s">
        <v>23</v>
      </c>
      <c r="F19" s="58">
        <v>4</v>
      </c>
      <c r="G19" s="57">
        <f t="shared" si="2"/>
        <v>4</v>
      </c>
      <c r="H19" s="74"/>
      <c r="I19" s="74"/>
      <c r="J19" s="74"/>
      <c r="K19" s="74">
        <v>4</v>
      </c>
      <c r="L19" s="74"/>
      <c r="M19" s="74"/>
      <c r="N19" s="93"/>
      <c r="O19" s="95"/>
      <c r="P19" s="11"/>
    </row>
    <row r="20" spans="1:16" s="7" customFormat="1" ht="18" customHeight="1" x14ac:dyDescent="0.15">
      <c r="A20" s="124"/>
      <c r="B20" s="121"/>
      <c r="C20" s="34" t="s">
        <v>91</v>
      </c>
      <c r="D20" s="34" t="s">
        <v>16</v>
      </c>
      <c r="E20" s="34" t="s">
        <v>24</v>
      </c>
      <c r="F20" s="58">
        <v>4</v>
      </c>
      <c r="G20" s="58">
        <f t="shared" si="2"/>
        <v>4</v>
      </c>
      <c r="H20" s="74"/>
      <c r="I20" s="74"/>
      <c r="J20" s="74"/>
      <c r="K20" s="74"/>
      <c r="L20" s="74">
        <v>4</v>
      </c>
      <c r="M20" s="74"/>
      <c r="N20" s="93"/>
      <c r="O20" s="95"/>
      <c r="P20" s="11"/>
    </row>
    <row r="21" spans="1:16" s="7" customFormat="1" ht="18" customHeight="1" x14ac:dyDescent="0.15">
      <c r="A21" s="124"/>
      <c r="B21" s="131" t="s">
        <v>64</v>
      </c>
      <c r="C21" s="33" t="s">
        <v>43</v>
      </c>
      <c r="D21" s="16" t="s">
        <v>16</v>
      </c>
      <c r="E21" s="16" t="s">
        <v>53</v>
      </c>
      <c r="F21" s="55">
        <v>3</v>
      </c>
      <c r="G21" s="55">
        <f t="shared" si="2"/>
        <v>3</v>
      </c>
      <c r="H21" s="38">
        <v>3</v>
      </c>
      <c r="I21" s="38"/>
      <c r="J21" s="38"/>
      <c r="K21" s="75"/>
      <c r="L21" s="38"/>
      <c r="M21" s="38"/>
      <c r="N21" s="134">
        <f>SUM(H21:M22)</f>
        <v>6</v>
      </c>
      <c r="O21" s="91">
        <v>6</v>
      </c>
      <c r="P21" s="11"/>
    </row>
    <row r="22" spans="1:16" s="7" customFormat="1" ht="18" customHeight="1" x14ac:dyDescent="0.15">
      <c r="A22" s="124"/>
      <c r="B22" s="132"/>
      <c r="C22" s="36" t="s">
        <v>44</v>
      </c>
      <c r="D22" s="10" t="s">
        <v>16</v>
      </c>
      <c r="E22" s="10" t="s">
        <v>53</v>
      </c>
      <c r="F22" s="57">
        <v>3</v>
      </c>
      <c r="G22" s="57">
        <f t="shared" si="2"/>
        <v>3</v>
      </c>
      <c r="H22" s="72"/>
      <c r="I22" s="72">
        <v>3</v>
      </c>
      <c r="J22" s="72"/>
      <c r="K22" s="76"/>
      <c r="L22" s="72"/>
      <c r="M22" s="72"/>
      <c r="N22" s="138"/>
      <c r="O22" s="92"/>
      <c r="P22" s="11"/>
    </row>
    <row r="23" spans="1:16" s="7" customFormat="1" ht="18" customHeight="1" x14ac:dyDescent="0.15">
      <c r="A23" s="124"/>
      <c r="B23" s="132"/>
      <c r="C23" s="8" t="s">
        <v>45</v>
      </c>
      <c r="D23" s="10" t="s">
        <v>16</v>
      </c>
      <c r="E23" s="10" t="s">
        <v>53</v>
      </c>
      <c r="F23" s="57">
        <v>4</v>
      </c>
      <c r="G23" s="57">
        <f t="shared" ref="G23:G28" si="3">SUM(H23:M23)</f>
        <v>3</v>
      </c>
      <c r="H23" s="72">
        <v>3</v>
      </c>
      <c r="I23" s="72"/>
      <c r="J23" s="72"/>
      <c r="K23" s="76"/>
      <c r="L23" s="72"/>
      <c r="M23" s="72"/>
      <c r="N23" s="93">
        <f>SUM(H23:M24)</f>
        <v>6</v>
      </c>
      <c r="O23" s="95">
        <v>8</v>
      </c>
      <c r="P23" s="11"/>
    </row>
    <row r="24" spans="1:16" s="7" customFormat="1" ht="18" customHeight="1" x14ac:dyDescent="0.15">
      <c r="A24" s="124"/>
      <c r="B24" s="132"/>
      <c r="C24" s="8" t="s">
        <v>46</v>
      </c>
      <c r="D24" s="10" t="s">
        <v>16</v>
      </c>
      <c r="E24" s="10" t="s">
        <v>53</v>
      </c>
      <c r="F24" s="57">
        <v>4</v>
      </c>
      <c r="G24" s="57">
        <f t="shared" si="3"/>
        <v>3</v>
      </c>
      <c r="H24" s="72"/>
      <c r="I24" s="72">
        <v>3</v>
      </c>
      <c r="J24" s="72"/>
      <c r="K24" s="76"/>
      <c r="L24" s="72"/>
      <c r="M24" s="72"/>
      <c r="N24" s="94"/>
      <c r="O24" s="96"/>
      <c r="P24" s="11"/>
    </row>
    <row r="25" spans="1:16" s="7" customFormat="1" ht="18" customHeight="1" x14ac:dyDescent="0.15">
      <c r="A25" s="124"/>
      <c r="B25" s="119" t="s">
        <v>76</v>
      </c>
      <c r="C25" s="15" t="s">
        <v>51</v>
      </c>
      <c r="D25" s="16" t="s">
        <v>16</v>
      </c>
      <c r="E25" s="16" t="s">
        <v>53</v>
      </c>
      <c r="F25" s="55">
        <v>4</v>
      </c>
      <c r="G25" s="55">
        <f t="shared" si="3"/>
        <v>3</v>
      </c>
      <c r="H25" s="38">
        <v>3</v>
      </c>
      <c r="I25" s="38"/>
      <c r="J25" s="38"/>
      <c r="K25" s="38"/>
      <c r="L25" s="75"/>
      <c r="M25" s="75"/>
      <c r="N25" s="128">
        <f>SUM(H25:M28)</f>
        <v>8</v>
      </c>
      <c r="O25" s="89">
        <v>10</v>
      </c>
      <c r="P25" s="11"/>
    </row>
    <row r="26" spans="1:16" s="7" customFormat="1" ht="18" customHeight="1" x14ac:dyDescent="0.15">
      <c r="A26" s="124"/>
      <c r="B26" s="129"/>
      <c r="C26" s="12" t="s">
        <v>52</v>
      </c>
      <c r="D26" s="17" t="s">
        <v>16</v>
      </c>
      <c r="E26" s="17" t="s">
        <v>53</v>
      </c>
      <c r="F26" s="56">
        <v>4</v>
      </c>
      <c r="G26" s="56">
        <f t="shared" si="3"/>
        <v>3</v>
      </c>
      <c r="H26" s="77"/>
      <c r="I26" s="77">
        <v>3</v>
      </c>
      <c r="J26" s="77"/>
      <c r="K26" s="77"/>
      <c r="L26" s="78"/>
      <c r="M26" s="78"/>
      <c r="N26" s="130"/>
      <c r="O26" s="97"/>
      <c r="P26" s="11"/>
    </row>
    <row r="27" spans="1:16" s="7" customFormat="1" ht="18" customHeight="1" x14ac:dyDescent="0.15">
      <c r="A27" s="124"/>
      <c r="B27" s="129"/>
      <c r="C27" s="40" t="s">
        <v>56</v>
      </c>
      <c r="D27" s="17" t="s">
        <v>16</v>
      </c>
      <c r="E27" s="17" t="s">
        <v>53</v>
      </c>
      <c r="F27" s="56">
        <v>1</v>
      </c>
      <c r="G27" s="56">
        <f t="shared" si="3"/>
        <v>1</v>
      </c>
      <c r="H27" s="77">
        <v>1</v>
      </c>
      <c r="I27" s="77"/>
      <c r="J27" s="77"/>
      <c r="K27" s="77"/>
      <c r="L27" s="78"/>
      <c r="M27" s="78"/>
      <c r="N27" s="130"/>
      <c r="O27" s="97"/>
      <c r="P27" s="11"/>
    </row>
    <row r="28" spans="1:16" s="7" customFormat="1" ht="18" customHeight="1" x14ac:dyDescent="0.15">
      <c r="A28" s="124"/>
      <c r="B28" s="121"/>
      <c r="C28" s="41" t="s">
        <v>57</v>
      </c>
      <c r="D28" s="34" t="s">
        <v>16</v>
      </c>
      <c r="E28" s="34" t="s">
        <v>53</v>
      </c>
      <c r="F28" s="58">
        <v>1</v>
      </c>
      <c r="G28" s="58">
        <f t="shared" si="3"/>
        <v>1</v>
      </c>
      <c r="H28" s="74"/>
      <c r="I28" s="74">
        <v>1</v>
      </c>
      <c r="J28" s="74"/>
      <c r="K28" s="74"/>
      <c r="L28" s="74"/>
      <c r="M28" s="74"/>
      <c r="N28" s="93"/>
      <c r="O28" s="95"/>
      <c r="P28" s="11"/>
    </row>
    <row r="29" spans="1:16" s="7" customFormat="1" ht="18" customHeight="1" x14ac:dyDescent="0.15">
      <c r="A29" s="124"/>
      <c r="B29" s="131" t="s">
        <v>26</v>
      </c>
      <c r="C29" s="42" t="s">
        <v>63</v>
      </c>
      <c r="D29" s="16" t="s">
        <v>34</v>
      </c>
      <c r="E29" s="16" t="s">
        <v>38</v>
      </c>
      <c r="F29" s="55">
        <v>3</v>
      </c>
      <c r="G29" s="55">
        <v>2</v>
      </c>
      <c r="H29" s="79">
        <v>2</v>
      </c>
      <c r="I29" s="79"/>
      <c r="J29" s="79"/>
      <c r="K29" s="79"/>
      <c r="L29" s="79"/>
      <c r="M29" s="79"/>
      <c r="N29" s="134">
        <f>SUM(H29:M34)</f>
        <v>10</v>
      </c>
      <c r="O29" s="91">
        <v>10</v>
      </c>
      <c r="P29" s="11"/>
    </row>
    <row r="30" spans="1:16" s="7" customFormat="1" ht="18" customHeight="1" x14ac:dyDescent="0.15">
      <c r="A30" s="124"/>
      <c r="B30" s="132"/>
      <c r="C30" s="40" t="s">
        <v>62</v>
      </c>
      <c r="D30" s="17" t="s">
        <v>34</v>
      </c>
      <c r="E30" s="17" t="s">
        <v>38</v>
      </c>
      <c r="F30" s="56">
        <v>3</v>
      </c>
      <c r="G30" s="57">
        <v>2</v>
      </c>
      <c r="H30" s="80"/>
      <c r="I30" s="80">
        <v>2</v>
      </c>
      <c r="J30" s="80"/>
      <c r="K30" s="80"/>
      <c r="L30" s="80"/>
      <c r="M30" s="80"/>
      <c r="N30" s="135"/>
      <c r="O30" s="90"/>
      <c r="P30" s="11"/>
    </row>
    <row r="31" spans="1:16" s="7" customFormat="1" ht="18" customHeight="1" x14ac:dyDescent="0.15">
      <c r="A31" s="124"/>
      <c r="B31" s="132"/>
      <c r="C31" s="43" t="s">
        <v>66</v>
      </c>
      <c r="D31" s="10" t="s">
        <v>34</v>
      </c>
      <c r="E31" s="10" t="s">
        <v>59</v>
      </c>
      <c r="F31" s="57">
        <v>2</v>
      </c>
      <c r="G31" s="57">
        <v>1</v>
      </c>
      <c r="H31" s="81"/>
      <c r="I31" s="81"/>
      <c r="J31" s="81">
        <v>1</v>
      </c>
      <c r="K31" s="81"/>
      <c r="L31" s="81"/>
      <c r="M31" s="81"/>
      <c r="N31" s="135"/>
      <c r="O31" s="90"/>
      <c r="P31" s="11"/>
    </row>
    <row r="32" spans="1:16" s="7" customFormat="1" ht="18" customHeight="1" x14ac:dyDescent="0.15">
      <c r="A32" s="124"/>
      <c r="B32" s="132"/>
      <c r="C32" s="41" t="s">
        <v>65</v>
      </c>
      <c r="D32" s="34" t="s">
        <v>16</v>
      </c>
      <c r="E32" s="34" t="s">
        <v>59</v>
      </c>
      <c r="F32" s="58">
        <v>2</v>
      </c>
      <c r="G32" s="57">
        <v>1</v>
      </c>
      <c r="H32" s="82"/>
      <c r="I32" s="82"/>
      <c r="J32" s="82"/>
      <c r="K32" s="82">
        <v>1</v>
      </c>
      <c r="L32" s="82"/>
      <c r="M32" s="82"/>
      <c r="N32" s="135"/>
      <c r="O32" s="90"/>
      <c r="P32" s="11"/>
    </row>
    <row r="33" spans="1:17" s="7" customFormat="1" ht="18" customHeight="1" x14ac:dyDescent="0.15">
      <c r="A33" s="124"/>
      <c r="B33" s="132"/>
      <c r="C33" s="44" t="s">
        <v>61</v>
      </c>
      <c r="D33" s="34" t="s">
        <v>16</v>
      </c>
      <c r="E33" s="34" t="s">
        <v>39</v>
      </c>
      <c r="F33" s="58">
        <v>3</v>
      </c>
      <c r="G33" s="57">
        <v>2</v>
      </c>
      <c r="H33" s="82"/>
      <c r="I33" s="82"/>
      <c r="J33" s="82"/>
      <c r="K33" s="82"/>
      <c r="L33" s="82">
        <v>2</v>
      </c>
      <c r="M33" s="82"/>
      <c r="N33" s="135"/>
      <c r="O33" s="90"/>
      <c r="P33" s="11"/>
    </row>
    <row r="34" spans="1:17" s="7" customFormat="1" ht="18" customHeight="1" x14ac:dyDescent="0.15">
      <c r="A34" s="124"/>
      <c r="B34" s="133"/>
      <c r="C34" s="45" t="s">
        <v>60</v>
      </c>
      <c r="D34" s="13" t="s">
        <v>16</v>
      </c>
      <c r="E34" s="13" t="s">
        <v>39</v>
      </c>
      <c r="F34" s="64">
        <v>3</v>
      </c>
      <c r="G34" s="64">
        <v>2</v>
      </c>
      <c r="H34" s="83"/>
      <c r="I34" s="83"/>
      <c r="J34" s="83"/>
      <c r="K34" s="83"/>
      <c r="L34" s="83"/>
      <c r="M34" s="83">
        <v>2</v>
      </c>
      <c r="N34" s="136"/>
      <c r="O34" s="98"/>
      <c r="P34" s="11"/>
    </row>
    <row r="35" spans="1:17" s="7" customFormat="1" ht="18" customHeight="1" x14ac:dyDescent="0.15">
      <c r="A35" s="124"/>
      <c r="B35" s="137" t="s">
        <v>77</v>
      </c>
      <c r="C35" s="42" t="s">
        <v>27</v>
      </c>
      <c r="D35" s="16" t="s">
        <v>16</v>
      </c>
      <c r="E35" s="16" t="s">
        <v>38</v>
      </c>
      <c r="F35" s="55">
        <v>3</v>
      </c>
      <c r="G35" s="55">
        <f t="shared" ref="G35:G36" si="4">SUM(H35:M35)</f>
        <v>3</v>
      </c>
      <c r="H35" s="79">
        <v>3</v>
      </c>
      <c r="I35" s="79"/>
      <c r="J35" s="79"/>
      <c r="K35" s="79"/>
      <c r="L35" s="79"/>
      <c r="M35" s="79"/>
      <c r="N35" s="128">
        <f>SUM(H35:M36)</f>
        <v>6</v>
      </c>
      <c r="O35" s="89">
        <v>10</v>
      </c>
      <c r="P35" s="11"/>
    </row>
    <row r="36" spans="1:17" s="7" customFormat="1" ht="18" customHeight="1" x14ac:dyDescent="0.15">
      <c r="A36" s="124"/>
      <c r="B36" s="137"/>
      <c r="C36" s="46" t="s">
        <v>28</v>
      </c>
      <c r="D36" s="30" t="s">
        <v>16</v>
      </c>
      <c r="E36" s="30" t="s">
        <v>38</v>
      </c>
      <c r="F36" s="60">
        <v>3</v>
      </c>
      <c r="G36" s="60">
        <f t="shared" si="4"/>
        <v>3</v>
      </c>
      <c r="H36" s="84"/>
      <c r="I36" s="84"/>
      <c r="J36" s="84">
        <v>3</v>
      </c>
      <c r="K36" s="84"/>
      <c r="L36" s="84"/>
      <c r="M36" s="84"/>
      <c r="N36" s="135"/>
      <c r="O36" s="90"/>
      <c r="P36" s="11"/>
    </row>
    <row r="37" spans="1:17" s="7" customFormat="1" ht="39.75" customHeight="1" x14ac:dyDescent="0.15">
      <c r="A37" s="124"/>
      <c r="B37" s="54" t="s">
        <v>87</v>
      </c>
      <c r="C37" s="33" t="s">
        <v>29</v>
      </c>
      <c r="D37" s="16" t="s">
        <v>34</v>
      </c>
      <c r="E37" s="16" t="s">
        <v>38</v>
      </c>
      <c r="F37" s="55">
        <v>4</v>
      </c>
      <c r="G37" s="55">
        <v>3</v>
      </c>
      <c r="H37" s="38"/>
      <c r="I37" s="38">
        <v>3</v>
      </c>
      <c r="J37" s="38"/>
      <c r="K37" s="38"/>
      <c r="L37" s="38"/>
      <c r="M37" s="38"/>
      <c r="N37" s="53">
        <f>SUM(H37:M37)</f>
        <v>3</v>
      </c>
      <c r="O37" s="52">
        <v>16</v>
      </c>
      <c r="P37" s="11"/>
    </row>
    <row r="38" spans="1:17" s="7" customFormat="1" ht="18" customHeight="1" thickBot="1" x14ac:dyDescent="0.2">
      <c r="A38" s="14"/>
      <c r="B38" s="150"/>
      <c r="C38" s="151"/>
      <c r="D38" s="151"/>
      <c r="E38" s="151"/>
      <c r="F38" s="152"/>
      <c r="G38" s="153"/>
      <c r="H38" s="85">
        <f t="shared" ref="H38:O38" si="5">SUM(H6:H37)</f>
        <v>27</v>
      </c>
      <c r="I38" s="85">
        <f t="shared" si="5"/>
        <v>28</v>
      </c>
      <c r="J38" s="85">
        <f t="shared" si="5"/>
        <v>16</v>
      </c>
      <c r="K38" s="85">
        <f t="shared" si="5"/>
        <v>13</v>
      </c>
      <c r="L38" s="85">
        <f t="shared" si="5"/>
        <v>10</v>
      </c>
      <c r="M38" s="85">
        <f t="shared" si="5"/>
        <v>2</v>
      </c>
      <c r="N38" s="50">
        <f t="shared" si="5"/>
        <v>96</v>
      </c>
      <c r="O38" s="51">
        <f t="shared" si="5"/>
        <v>84</v>
      </c>
      <c r="P38" s="11"/>
    </row>
    <row r="39" spans="1:17" s="7" customFormat="1" ht="20.100000000000001" customHeight="1" x14ac:dyDescent="0.15">
      <c r="A39" s="146"/>
      <c r="B39" s="121"/>
      <c r="C39" s="34" t="s">
        <v>68</v>
      </c>
      <c r="D39" s="34" t="s">
        <v>30</v>
      </c>
      <c r="E39" s="34" t="s">
        <v>24</v>
      </c>
      <c r="F39" s="58">
        <v>4</v>
      </c>
      <c r="G39" s="58">
        <f>SUM(H39:M39)</f>
        <v>3</v>
      </c>
      <c r="H39" s="74"/>
      <c r="I39" s="74"/>
      <c r="J39" s="74">
        <v>3</v>
      </c>
      <c r="K39" s="74"/>
      <c r="L39" s="74"/>
      <c r="M39" s="74"/>
      <c r="N39" s="94">
        <f>SUM(H39:M44)</f>
        <v>23</v>
      </c>
      <c r="O39" s="149"/>
      <c r="P39" s="11"/>
    </row>
    <row r="40" spans="1:17" s="7" customFormat="1" ht="20.100000000000001" customHeight="1" x14ac:dyDescent="0.15">
      <c r="A40" s="146"/>
      <c r="B40" s="121"/>
      <c r="C40" s="34" t="s">
        <v>69</v>
      </c>
      <c r="D40" s="34" t="s">
        <v>30</v>
      </c>
      <c r="E40" s="34" t="s">
        <v>24</v>
      </c>
      <c r="F40" s="58">
        <v>4</v>
      </c>
      <c r="G40" s="58">
        <f>SUM(H40:M40)</f>
        <v>4</v>
      </c>
      <c r="H40" s="74"/>
      <c r="I40" s="74"/>
      <c r="J40" s="74"/>
      <c r="K40" s="74">
        <v>4</v>
      </c>
      <c r="L40" s="74"/>
      <c r="M40" s="74"/>
      <c r="N40" s="94"/>
      <c r="O40" s="149"/>
      <c r="P40" s="11"/>
    </row>
    <row r="41" spans="1:17" s="7" customFormat="1" ht="20.100000000000001" customHeight="1" x14ac:dyDescent="0.15">
      <c r="A41" s="146"/>
      <c r="B41" s="121"/>
      <c r="C41" s="10" t="s">
        <v>90</v>
      </c>
      <c r="D41" s="10" t="s">
        <v>30</v>
      </c>
      <c r="E41" s="10" t="s">
        <v>24</v>
      </c>
      <c r="F41" s="57">
        <v>4</v>
      </c>
      <c r="G41" s="57">
        <v>4</v>
      </c>
      <c r="H41" s="72"/>
      <c r="I41" s="72"/>
      <c r="J41" s="72"/>
      <c r="K41" s="72"/>
      <c r="L41" s="72">
        <v>4</v>
      </c>
      <c r="M41" s="72"/>
      <c r="N41" s="94"/>
      <c r="O41" s="149"/>
      <c r="P41" s="11"/>
    </row>
    <row r="42" spans="1:17" s="7" customFormat="1" ht="20.100000000000001" customHeight="1" x14ac:dyDescent="0.15">
      <c r="A42" s="146"/>
      <c r="B42" s="121"/>
      <c r="C42" s="31" t="s">
        <v>93</v>
      </c>
      <c r="D42" s="31" t="s">
        <v>30</v>
      </c>
      <c r="E42" s="31" t="s">
        <v>92</v>
      </c>
      <c r="F42" s="61">
        <v>4</v>
      </c>
      <c r="G42" s="61">
        <v>3</v>
      </c>
      <c r="H42" s="86"/>
      <c r="I42" s="86"/>
      <c r="J42" s="86"/>
      <c r="K42" s="86"/>
      <c r="L42" s="86"/>
      <c r="M42" s="86">
        <v>3</v>
      </c>
      <c r="N42" s="94"/>
      <c r="O42" s="149"/>
      <c r="P42" s="11"/>
    </row>
    <row r="43" spans="1:17" s="7" customFormat="1" ht="33.950000000000003" customHeight="1" x14ac:dyDescent="0.15">
      <c r="A43" s="146"/>
      <c r="B43" s="121"/>
      <c r="C43" s="34" t="s">
        <v>85</v>
      </c>
      <c r="D43" s="34" t="s">
        <v>30</v>
      </c>
      <c r="E43" s="34" t="s">
        <v>84</v>
      </c>
      <c r="F43" s="58">
        <v>4</v>
      </c>
      <c r="G43" s="58">
        <f t="shared" ref="G43:G44" si="6">SUM(H43:M43)</f>
        <v>4</v>
      </c>
      <c r="H43" s="74"/>
      <c r="I43" s="74"/>
      <c r="J43" s="74"/>
      <c r="K43" s="74"/>
      <c r="L43" s="74"/>
      <c r="M43" s="74">
        <v>4</v>
      </c>
      <c r="N43" s="94"/>
      <c r="O43" s="149"/>
      <c r="P43" s="11"/>
    </row>
    <row r="44" spans="1:17" s="7" customFormat="1" ht="33.950000000000003" customHeight="1" x14ac:dyDescent="0.15">
      <c r="A44" s="146"/>
      <c r="B44" s="121"/>
      <c r="C44" s="34" t="s">
        <v>71</v>
      </c>
      <c r="D44" s="34" t="s">
        <v>30</v>
      </c>
      <c r="E44" s="34" t="s">
        <v>70</v>
      </c>
      <c r="F44" s="58">
        <v>4</v>
      </c>
      <c r="G44" s="58">
        <f t="shared" si="6"/>
        <v>5</v>
      </c>
      <c r="H44" s="74"/>
      <c r="I44" s="74"/>
      <c r="J44" s="74"/>
      <c r="K44" s="74"/>
      <c r="L44" s="74"/>
      <c r="M44" s="74">
        <v>5</v>
      </c>
      <c r="N44" s="94"/>
      <c r="O44" s="149"/>
      <c r="P44" s="11"/>
    </row>
    <row r="45" spans="1:17" s="7" customFormat="1" ht="50.1" customHeight="1" x14ac:dyDescent="0.15">
      <c r="A45" s="146"/>
      <c r="B45" s="119" t="s">
        <v>86</v>
      </c>
      <c r="C45" s="147" t="s">
        <v>94</v>
      </c>
      <c r="D45" s="16" t="s">
        <v>72</v>
      </c>
      <c r="E45" s="147" t="s">
        <v>84</v>
      </c>
      <c r="F45" s="55">
        <v>4</v>
      </c>
      <c r="G45" s="62">
        <v>3</v>
      </c>
      <c r="H45" s="38"/>
      <c r="I45" s="38"/>
      <c r="J45" s="38">
        <v>9</v>
      </c>
      <c r="K45" s="38"/>
      <c r="L45" s="38"/>
      <c r="M45" s="38"/>
      <c r="N45" s="134">
        <f>SUM(H45:M48)</f>
        <v>38</v>
      </c>
      <c r="O45" s="91"/>
      <c r="P45" s="49"/>
    </row>
    <row r="46" spans="1:17" s="7" customFormat="1" ht="50.1" customHeight="1" x14ac:dyDescent="0.15">
      <c r="A46" s="146"/>
      <c r="B46" s="129"/>
      <c r="C46" s="111"/>
      <c r="D46" s="10" t="s">
        <v>73</v>
      </c>
      <c r="E46" s="111"/>
      <c r="F46" s="61">
        <v>4</v>
      </c>
      <c r="G46" s="61">
        <v>3</v>
      </c>
      <c r="H46" s="81"/>
      <c r="I46" s="81"/>
      <c r="J46" s="81"/>
      <c r="K46" s="72">
        <v>12</v>
      </c>
      <c r="L46" s="81"/>
      <c r="M46" s="81"/>
      <c r="N46" s="111"/>
      <c r="O46" s="149"/>
      <c r="P46" s="11"/>
    </row>
    <row r="47" spans="1:17" s="7" customFormat="1" ht="50.1" customHeight="1" x14ac:dyDescent="0.15">
      <c r="A47" s="146"/>
      <c r="B47" s="129"/>
      <c r="C47" s="148"/>
      <c r="D47" s="34" t="s">
        <v>72</v>
      </c>
      <c r="E47" s="148"/>
      <c r="F47" s="61">
        <v>4</v>
      </c>
      <c r="G47" s="61">
        <v>3</v>
      </c>
      <c r="H47" s="77"/>
      <c r="I47" s="77"/>
      <c r="J47" s="77"/>
      <c r="K47" s="77"/>
      <c r="L47" s="77">
        <v>9</v>
      </c>
      <c r="M47" s="77"/>
      <c r="N47" s="111"/>
      <c r="O47" s="149"/>
      <c r="P47" s="11"/>
    </row>
    <row r="48" spans="1:17" s="7" customFormat="1" ht="50.1" customHeight="1" x14ac:dyDescent="0.15">
      <c r="A48" s="146"/>
      <c r="B48" s="120"/>
      <c r="C48" s="68" t="s">
        <v>95</v>
      </c>
      <c r="D48" s="67" t="s">
        <v>67</v>
      </c>
      <c r="E48" s="69" t="s">
        <v>39</v>
      </c>
      <c r="F48" s="63">
        <v>4</v>
      </c>
      <c r="G48" s="63">
        <v>4</v>
      </c>
      <c r="H48" s="87"/>
      <c r="I48" s="87"/>
      <c r="J48" s="87"/>
      <c r="K48" s="87"/>
      <c r="L48" s="87"/>
      <c r="M48" s="88">
        <v>8</v>
      </c>
      <c r="N48" s="111"/>
      <c r="O48" s="149"/>
      <c r="P48" s="11"/>
      <c r="Q48" s="11"/>
    </row>
    <row r="49" spans="1:17" s="7" customFormat="1" ht="18" customHeight="1" x14ac:dyDescent="0.15">
      <c r="A49" s="146"/>
      <c r="B49" s="131" t="s">
        <v>58</v>
      </c>
      <c r="C49" s="47" t="s">
        <v>79</v>
      </c>
      <c r="D49" s="19" t="s">
        <v>30</v>
      </c>
      <c r="E49" s="19" t="s">
        <v>70</v>
      </c>
      <c r="F49" s="55">
        <v>3</v>
      </c>
      <c r="G49" s="62">
        <f t="shared" ref="G49:G51" si="7">SUM(H49:M49)</f>
        <v>2</v>
      </c>
      <c r="H49" s="79"/>
      <c r="I49" s="79">
        <v>2</v>
      </c>
      <c r="J49" s="79"/>
      <c r="K49" s="79"/>
      <c r="L49" s="79"/>
      <c r="M49" s="79"/>
      <c r="N49" s="134">
        <f>SUM(H49:M50)</f>
        <v>4</v>
      </c>
      <c r="O49" s="91"/>
    </row>
    <row r="50" spans="1:17" s="7" customFormat="1" ht="18" customHeight="1" x14ac:dyDescent="0.15">
      <c r="A50" s="146"/>
      <c r="B50" s="154"/>
      <c r="C50" s="48" t="s">
        <v>78</v>
      </c>
      <c r="D50" s="28" t="s">
        <v>31</v>
      </c>
      <c r="E50" s="28" t="s">
        <v>70</v>
      </c>
      <c r="F50" s="64">
        <v>3</v>
      </c>
      <c r="G50" s="65">
        <f>SUM(H50:M50)</f>
        <v>2</v>
      </c>
      <c r="H50" s="83"/>
      <c r="I50" s="83"/>
      <c r="J50" s="83"/>
      <c r="K50" s="83">
        <v>2</v>
      </c>
      <c r="L50" s="83"/>
      <c r="M50" s="83"/>
      <c r="N50" s="154"/>
      <c r="O50" s="155"/>
    </row>
    <row r="51" spans="1:17" s="7" customFormat="1" ht="20.25" customHeight="1" x14ac:dyDescent="0.15">
      <c r="A51" s="146"/>
      <c r="B51" s="128" t="s">
        <v>74</v>
      </c>
      <c r="C51" s="19" t="s">
        <v>89</v>
      </c>
      <c r="D51" s="19" t="s">
        <v>30</v>
      </c>
      <c r="E51" s="19" t="s">
        <v>23</v>
      </c>
      <c r="F51" s="55">
        <v>4</v>
      </c>
      <c r="G51" s="62">
        <f t="shared" si="7"/>
        <v>3</v>
      </c>
      <c r="H51" s="38">
        <v>3</v>
      </c>
      <c r="I51" s="38"/>
      <c r="J51" s="38"/>
      <c r="K51" s="38"/>
      <c r="L51" s="38"/>
      <c r="M51" s="38"/>
      <c r="N51" s="134">
        <f>SUM(H51:M53)</f>
        <v>13</v>
      </c>
      <c r="O51" s="91"/>
    </row>
    <row r="52" spans="1:17" s="7" customFormat="1" ht="48" customHeight="1" x14ac:dyDescent="0.15">
      <c r="A52" s="146"/>
      <c r="B52" s="135"/>
      <c r="C52" s="4" t="s">
        <v>88</v>
      </c>
      <c r="D52" s="29" t="s">
        <v>67</v>
      </c>
      <c r="E52" s="29" t="s">
        <v>70</v>
      </c>
      <c r="F52" s="57" t="s">
        <v>82</v>
      </c>
      <c r="G52" s="66">
        <f>SUM(H52:M52)</f>
        <v>6</v>
      </c>
      <c r="H52" s="72"/>
      <c r="I52" s="72"/>
      <c r="J52" s="72">
        <v>3</v>
      </c>
      <c r="K52" s="72"/>
      <c r="L52" s="81">
        <v>3</v>
      </c>
      <c r="M52" s="72"/>
      <c r="N52" s="135"/>
      <c r="O52" s="90"/>
      <c r="P52" s="37"/>
      <c r="Q52" s="11"/>
    </row>
    <row r="53" spans="1:17" s="7" customFormat="1" ht="20.100000000000001" customHeight="1" thickBot="1" x14ac:dyDescent="0.2">
      <c r="A53" s="146"/>
      <c r="B53" s="135"/>
      <c r="C53" s="39" t="s">
        <v>75</v>
      </c>
      <c r="D53" s="29" t="s">
        <v>30</v>
      </c>
      <c r="E53" s="29" t="s">
        <v>70</v>
      </c>
      <c r="F53" s="57">
        <v>3</v>
      </c>
      <c r="G53" s="66">
        <f>SUM(H53:M53)</f>
        <v>4</v>
      </c>
      <c r="H53" s="81"/>
      <c r="I53" s="81"/>
      <c r="J53" s="81"/>
      <c r="K53" s="81"/>
      <c r="L53" s="81"/>
      <c r="M53" s="81">
        <v>4</v>
      </c>
      <c r="N53" s="135"/>
      <c r="O53" s="90"/>
      <c r="P53" s="37"/>
    </row>
    <row r="54" spans="1:17" s="5" customFormat="1" ht="17.100000000000001" customHeight="1" x14ac:dyDescent="0.15">
      <c r="A54" s="142" t="s">
        <v>20</v>
      </c>
      <c r="B54" s="143"/>
      <c r="C54" s="143"/>
      <c r="D54" s="143"/>
      <c r="E54" s="143"/>
      <c r="F54" s="143"/>
      <c r="G54" s="143"/>
      <c r="H54" s="26">
        <f t="shared" ref="H54:M54" si="8">SUM(H6:H37,H39:H53)</f>
        <v>30</v>
      </c>
      <c r="I54" s="26">
        <f t="shared" si="8"/>
        <v>30</v>
      </c>
      <c r="J54" s="26">
        <f t="shared" si="8"/>
        <v>31</v>
      </c>
      <c r="K54" s="26">
        <f t="shared" si="8"/>
        <v>31</v>
      </c>
      <c r="L54" s="26">
        <f t="shared" si="8"/>
        <v>26</v>
      </c>
      <c r="M54" s="26">
        <f t="shared" si="8"/>
        <v>26</v>
      </c>
      <c r="N54" s="26">
        <f>SUM(H54:M54)</f>
        <v>174</v>
      </c>
      <c r="O54" s="25"/>
    </row>
    <row r="55" spans="1:17" s="5" customFormat="1" ht="17.100000000000001" customHeight="1" x14ac:dyDescent="0.15">
      <c r="A55" s="144" t="s">
        <v>11</v>
      </c>
      <c r="B55" s="145"/>
      <c r="C55" s="145"/>
      <c r="D55" s="145"/>
      <c r="E55" s="145"/>
      <c r="F55" s="145"/>
      <c r="G55" s="145"/>
      <c r="H55" s="27">
        <v>3</v>
      </c>
      <c r="I55" s="27">
        <v>3</v>
      </c>
      <c r="J55" s="27">
        <v>3</v>
      </c>
      <c r="K55" s="27">
        <v>3</v>
      </c>
      <c r="L55" s="27">
        <v>3</v>
      </c>
      <c r="M55" s="27">
        <v>3</v>
      </c>
      <c r="N55" s="27">
        <f>SUM(H55:M55)</f>
        <v>18</v>
      </c>
      <c r="O55" s="22"/>
    </row>
    <row r="56" spans="1:17" s="5" customFormat="1" ht="17.100000000000001" customHeight="1" x14ac:dyDescent="0.15">
      <c r="A56" s="144" t="s">
        <v>18</v>
      </c>
      <c r="B56" s="145"/>
      <c r="C56" s="145"/>
      <c r="D56" s="145"/>
      <c r="E56" s="145"/>
      <c r="F56" s="145"/>
      <c r="G56" s="145"/>
      <c r="H56" s="24">
        <f>SUM(H54:H55)</f>
        <v>33</v>
      </c>
      <c r="I56" s="24">
        <f t="shared" ref="I56:M56" si="9">SUM(I54:I55)</f>
        <v>33</v>
      </c>
      <c r="J56" s="24">
        <f t="shared" si="9"/>
        <v>34</v>
      </c>
      <c r="K56" s="24">
        <f t="shared" si="9"/>
        <v>34</v>
      </c>
      <c r="L56" s="24">
        <f t="shared" si="9"/>
        <v>29</v>
      </c>
      <c r="M56" s="24">
        <f t="shared" si="9"/>
        <v>29</v>
      </c>
      <c r="N56" s="24">
        <f>SUM(H56:M56)</f>
        <v>192</v>
      </c>
      <c r="O56" s="22"/>
    </row>
    <row r="57" spans="1:17" s="5" customFormat="1" ht="17.100000000000001" customHeight="1" thickBot="1" x14ac:dyDescent="0.2">
      <c r="A57" s="139" t="s">
        <v>19</v>
      </c>
      <c r="B57" s="140"/>
      <c r="C57" s="140"/>
      <c r="D57" s="140"/>
      <c r="E57" s="140"/>
      <c r="F57" s="140"/>
      <c r="G57" s="140"/>
      <c r="H57" s="141">
        <f>SUM(H56:I56)</f>
        <v>66</v>
      </c>
      <c r="I57" s="141"/>
      <c r="J57" s="141">
        <f t="shared" ref="J57" si="10">SUM(J56:K56)</f>
        <v>68</v>
      </c>
      <c r="K57" s="141"/>
      <c r="L57" s="141">
        <f t="shared" ref="L57" si="11">SUM(L56:M56)</f>
        <v>58</v>
      </c>
      <c r="M57" s="141"/>
      <c r="N57" s="32">
        <f>SUM(H57:M57)</f>
        <v>192</v>
      </c>
      <c r="O57" s="23"/>
    </row>
  </sheetData>
  <mergeCells count="67">
    <mergeCell ref="N51:N53"/>
    <mergeCell ref="O45:O48"/>
    <mergeCell ref="O51:O53"/>
    <mergeCell ref="B45:B48"/>
    <mergeCell ref="B38:G38"/>
    <mergeCell ref="B49:B50"/>
    <mergeCell ref="O49:O50"/>
    <mergeCell ref="N49:N50"/>
    <mergeCell ref="B39:B44"/>
    <mergeCell ref="N39:N44"/>
    <mergeCell ref="O39:O44"/>
    <mergeCell ref="N45:N48"/>
    <mergeCell ref="A57:G57"/>
    <mergeCell ref="H57:I57"/>
    <mergeCell ref="J57:K57"/>
    <mergeCell ref="L57:M57"/>
    <mergeCell ref="B51:B53"/>
    <mergeCell ref="A54:G54"/>
    <mergeCell ref="A55:G55"/>
    <mergeCell ref="A56:G56"/>
    <mergeCell ref="A39:A53"/>
    <mergeCell ref="C45:C47"/>
    <mergeCell ref="E45:E47"/>
    <mergeCell ref="A6:A37"/>
    <mergeCell ref="B6:B10"/>
    <mergeCell ref="N6:N10"/>
    <mergeCell ref="N16:N20"/>
    <mergeCell ref="B25:B28"/>
    <mergeCell ref="N25:N28"/>
    <mergeCell ref="B11:B15"/>
    <mergeCell ref="N11:N15"/>
    <mergeCell ref="B21:B24"/>
    <mergeCell ref="B29:B34"/>
    <mergeCell ref="N29:N34"/>
    <mergeCell ref="B35:B36"/>
    <mergeCell ref="N35:N36"/>
    <mergeCell ref="N21:N22"/>
    <mergeCell ref="O11:O15"/>
    <mergeCell ref="B16:B20"/>
    <mergeCell ref="M4:M5"/>
    <mergeCell ref="O16:O20"/>
    <mergeCell ref="I4:I5"/>
    <mergeCell ref="J4:J5"/>
    <mergeCell ref="K4:K5"/>
    <mergeCell ref="L4:L5"/>
    <mergeCell ref="O6:O10"/>
    <mergeCell ref="A1:O1"/>
    <mergeCell ref="J2:O2"/>
    <mergeCell ref="A3:A5"/>
    <mergeCell ref="B3:B5"/>
    <mergeCell ref="C3:C5"/>
    <mergeCell ref="D3:D5"/>
    <mergeCell ref="E3:E5"/>
    <mergeCell ref="F3:F5"/>
    <mergeCell ref="G3:G5"/>
    <mergeCell ref="H3:I3"/>
    <mergeCell ref="J3:K3"/>
    <mergeCell ref="L3:M3"/>
    <mergeCell ref="N3:N5"/>
    <mergeCell ref="O3:O5"/>
    <mergeCell ref="H4:H5"/>
    <mergeCell ref="O35:O36"/>
    <mergeCell ref="O21:O22"/>
    <mergeCell ref="N23:N24"/>
    <mergeCell ref="O23:O24"/>
    <mergeCell ref="O25:O28"/>
    <mergeCell ref="O29:O34"/>
  </mergeCells>
  <phoneticPr fontId="7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2026입학생</vt:lpstr>
      <vt:lpstr>'2026입학생'!Print_Area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revision>6</cp:revision>
  <cp:lastPrinted>2025-10-22T05:12:24Z</cp:lastPrinted>
  <dcterms:created xsi:type="dcterms:W3CDTF">2002-10-10T04:04:10Z</dcterms:created>
  <dcterms:modified xsi:type="dcterms:W3CDTF">2025-12-09T00:28:24Z</dcterms:modified>
  <cp:version>0906.0100.01</cp:version>
</cp:coreProperties>
</file>