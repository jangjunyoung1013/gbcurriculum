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33933C6-583B-4410-AB4D-CE188EFCDD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1" i="1" l="1"/>
  <c r="H41" i="1"/>
  <c r="I41" i="1"/>
  <c r="J41" i="1"/>
  <c r="K41" i="1"/>
  <c r="L41" i="1"/>
  <c r="N41" i="1"/>
  <c r="M96" i="1"/>
  <c r="M99" i="1"/>
  <c r="M15" i="1"/>
  <c r="M34" i="1"/>
  <c r="M28" i="1"/>
  <c r="M24" i="1"/>
  <c r="M20" i="1"/>
  <c r="M10" i="1"/>
  <c r="M5" i="1"/>
  <c r="M41" i="1" l="1"/>
</calcChain>
</file>

<file path=xl/sharedStrings.xml><?xml version="1.0" encoding="utf-8"?>
<sst xmlns="http://schemas.openxmlformats.org/spreadsheetml/2006/main" count="244" uniqueCount="147">
  <si>
    <t>구분</t>
    <phoneticPr fontId="5" type="noConversion"/>
  </si>
  <si>
    <t>교과(군)</t>
    <phoneticPr fontId="3" type="noConversion"/>
  </si>
  <si>
    <t>과목</t>
  </si>
  <si>
    <t>과목
유형</t>
  </si>
  <si>
    <t>기본학점</t>
    <phoneticPr fontId="5" type="noConversion"/>
  </si>
  <si>
    <t>1학년</t>
    <phoneticPr fontId="3" type="noConversion"/>
  </si>
  <si>
    <t>2학년</t>
    <phoneticPr fontId="3" type="noConversion"/>
  </si>
  <si>
    <t>3학년</t>
    <phoneticPr fontId="3" type="noConversion"/>
  </si>
  <si>
    <t>이수
학점</t>
    <phoneticPr fontId="5" type="noConversion"/>
  </si>
  <si>
    <t>필수
이수
학점</t>
    <phoneticPr fontId="5" type="noConversion"/>
  </si>
  <si>
    <t>일반</t>
    <phoneticPr fontId="3" type="noConversion"/>
  </si>
  <si>
    <t>1학기</t>
  </si>
  <si>
    <t>2학기</t>
  </si>
  <si>
    <t>1학기</t>
    <phoneticPr fontId="3" type="noConversion"/>
  </si>
  <si>
    <t>2학기</t>
    <phoneticPr fontId="3" type="noConversion"/>
  </si>
  <si>
    <t>학
교
지
정
과
목</t>
    <phoneticPr fontId="5" type="noConversion"/>
  </si>
  <si>
    <t>국어</t>
    <phoneticPr fontId="5" type="noConversion"/>
  </si>
  <si>
    <t>공통국어1</t>
    <phoneticPr fontId="5" type="noConversion"/>
  </si>
  <si>
    <t>공통</t>
  </si>
  <si>
    <t>공통국어2</t>
  </si>
  <si>
    <t>문학</t>
    <phoneticPr fontId="3" type="noConversion"/>
  </si>
  <si>
    <t>화법과 언어</t>
    <phoneticPr fontId="3" type="noConversion"/>
  </si>
  <si>
    <t>독서와 작문</t>
    <phoneticPr fontId="3" type="noConversion"/>
  </si>
  <si>
    <t>수학</t>
    <phoneticPr fontId="5" type="noConversion"/>
  </si>
  <si>
    <t>공통수학1</t>
    <phoneticPr fontId="5" type="noConversion"/>
  </si>
  <si>
    <t>공통수학2</t>
  </si>
  <si>
    <t>대수</t>
    <phoneticPr fontId="3" type="noConversion"/>
  </si>
  <si>
    <t>미적분1</t>
    <phoneticPr fontId="3" type="noConversion"/>
  </si>
  <si>
    <t>확률과통계</t>
    <phoneticPr fontId="3" type="noConversion"/>
  </si>
  <si>
    <t>영어</t>
    <phoneticPr fontId="5" type="noConversion"/>
  </si>
  <si>
    <t>공통영어1</t>
    <phoneticPr fontId="5" type="noConversion"/>
  </si>
  <si>
    <t>공통영어2</t>
  </si>
  <si>
    <t>영어I</t>
    <phoneticPr fontId="3" type="noConversion"/>
  </si>
  <si>
    <t>영어II</t>
    <phoneticPr fontId="3" type="noConversion"/>
  </si>
  <si>
    <t>사회</t>
    <phoneticPr fontId="5" type="noConversion"/>
  </si>
  <si>
    <t>한국사1</t>
    <phoneticPr fontId="5" type="noConversion"/>
  </si>
  <si>
    <t>한국사2</t>
    <phoneticPr fontId="5" type="noConversion"/>
  </si>
  <si>
    <t>통합사회1</t>
    <phoneticPr fontId="5" type="noConversion"/>
  </si>
  <si>
    <t>통합사회2</t>
    <phoneticPr fontId="5" type="noConversion"/>
  </si>
  <si>
    <t>과학</t>
    <phoneticPr fontId="5" type="noConversion"/>
  </si>
  <si>
    <t>통합과학1</t>
    <phoneticPr fontId="5" type="noConversion"/>
  </si>
  <si>
    <t>통합과학2</t>
    <phoneticPr fontId="5" type="noConversion"/>
  </si>
  <si>
    <t>과학탐구실험1</t>
    <phoneticPr fontId="5" type="noConversion"/>
  </si>
  <si>
    <t>과학탐구실험2</t>
    <phoneticPr fontId="5" type="noConversion"/>
  </si>
  <si>
    <t>체육</t>
    <phoneticPr fontId="5" type="noConversion"/>
  </si>
  <si>
    <t>체육1</t>
  </si>
  <si>
    <t>일반</t>
  </si>
  <si>
    <t>체육2</t>
  </si>
  <si>
    <t>스포츠 문화</t>
  </si>
  <si>
    <t>진로</t>
  </si>
  <si>
    <t>스포츠 과학</t>
  </si>
  <si>
    <t>스포츠 생활1</t>
  </si>
  <si>
    <t>융합</t>
    <phoneticPr fontId="3" type="noConversion"/>
  </si>
  <si>
    <t>스포츠 생활2</t>
  </si>
  <si>
    <t>예술</t>
    <phoneticPr fontId="5" type="noConversion"/>
  </si>
  <si>
    <t>음악</t>
    <phoneticPr fontId="5" type="noConversion"/>
  </si>
  <si>
    <t>(3)</t>
    <phoneticPr fontId="3" type="noConversion"/>
  </si>
  <si>
    <t>미술</t>
    <phoneticPr fontId="5" type="noConversion"/>
  </si>
  <si>
    <r>
      <rPr>
        <sz val="11"/>
        <color rgb="FF000000"/>
        <rFont val="돋움"/>
        <family val="3"/>
        <charset val="129"/>
      </rPr>
      <t>(3)</t>
    </r>
    <phoneticPr fontId="3" type="noConversion"/>
  </si>
  <si>
    <t>음악 연주와 창작</t>
    <phoneticPr fontId="3" type="noConversion"/>
  </si>
  <si>
    <t>음악 감상과 비평</t>
  </si>
  <si>
    <t>정보</t>
    <phoneticPr fontId="3" type="noConversion"/>
  </si>
  <si>
    <t>세계시민과 지리</t>
    <phoneticPr fontId="5" type="noConversion"/>
  </si>
  <si>
    <t>일반</t>
    <phoneticPr fontId="5" type="noConversion"/>
  </si>
  <si>
    <t>세계사</t>
    <phoneticPr fontId="5" type="noConversion"/>
  </si>
  <si>
    <t>사회와 문화</t>
    <phoneticPr fontId="5" type="noConversion"/>
  </si>
  <si>
    <t>현대사회와 윤리</t>
    <phoneticPr fontId="5" type="noConversion"/>
  </si>
  <si>
    <t>물리학</t>
    <phoneticPr fontId="5" type="noConversion"/>
  </si>
  <si>
    <t>화학</t>
    <phoneticPr fontId="5" type="noConversion"/>
  </si>
  <si>
    <t>생명과학</t>
    <phoneticPr fontId="5" type="noConversion"/>
  </si>
  <si>
    <t>지구과학</t>
    <phoneticPr fontId="5" type="noConversion"/>
  </si>
  <si>
    <t>사회</t>
    <phoneticPr fontId="3" type="noConversion"/>
  </si>
  <si>
    <t>한국지리 탐구</t>
    <phoneticPr fontId="5" type="noConversion"/>
  </si>
  <si>
    <t>진로</t>
    <phoneticPr fontId="3" type="noConversion"/>
  </si>
  <si>
    <t>정치</t>
    <phoneticPr fontId="5" type="noConversion"/>
  </si>
  <si>
    <t>진로</t>
    <phoneticPr fontId="5" type="noConversion"/>
  </si>
  <si>
    <t>경제</t>
    <phoneticPr fontId="3" type="noConversion"/>
  </si>
  <si>
    <t>윤리와사상</t>
    <phoneticPr fontId="5" type="noConversion"/>
  </si>
  <si>
    <t>동아시아 역사 기행</t>
    <phoneticPr fontId="5" type="noConversion"/>
  </si>
  <si>
    <t>과학</t>
    <phoneticPr fontId="3" type="noConversion"/>
  </si>
  <si>
    <t>역학과 에너지</t>
  </si>
  <si>
    <t>물질과 에너지</t>
    <phoneticPr fontId="3" type="noConversion"/>
  </si>
  <si>
    <t>세포와 물질대사</t>
    <phoneticPr fontId="5" type="noConversion"/>
  </si>
  <si>
    <t>지구시스템과학</t>
    <phoneticPr fontId="3" type="noConversion"/>
  </si>
  <si>
    <r>
      <t>국어/수학</t>
    </r>
    <r>
      <rPr>
        <sz val="11"/>
        <color rgb="FF000000"/>
        <rFont val="돋움"/>
        <family val="3"/>
        <charset val="129"/>
      </rPr>
      <t>/영어</t>
    </r>
    <phoneticPr fontId="3" type="noConversion"/>
  </si>
  <si>
    <t>문학과 영상</t>
    <phoneticPr fontId="3" type="noConversion"/>
  </si>
  <si>
    <t>영미문학 읽기</t>
    <phoneticPr fontId="3" type="noConversion"/>
  </si>
  <si>
    <t>기하</t>
    <phoneticPr fontId="3" type="noConversion"/>
  </si>
  <si>
    <t>수학</t>
    <phoneticPr fontId="3" type="noConversion"/>
  </si>
  <si>
    <t>미적분2</t>
    <phoneticPr fontId="3" type="noConversion"/>
  </si>
  <si>
    <t>경제수학</t>
    <phoneticPr fontId="3" type="noConversion"/>
  </si>
  <si>
    <t>영어</t>
    <phoneticPr fontId="3" type="noConversion"/>
  </si>
  <si>
    <t>영어독해와 작문</t>
    <phoneticPr fontId="3" type="noConversion"/>
  </si>
  <si>
    <t>국어</t>
    <phoneticPr fontId="3" type="noConversion"/>
  </si>
  <si>
    <t>주제 탐구 독서</t>
    <phoneticPr fontId="3" type="noConversion"/>
  </si>
  <si>
    <t>택3
12</t>
    <phoneticPr fontId="3" type="noConversion"/>
  </si>
  <si>
    <t>언어생활 탐구</t>
    <phoneticPr fontId="3" type="noConversion"/>
  </si>
  <si>
    <t>융합</t>
  </si>
  <si>
    <t>수학과 문화</t>
    <phoneticPr fontId="3" type="noConversion"/>
  </si>
  <si>
    <t>수학과제 탐구</t>
    <phoneticPr fontId="3" type="noConversion"/>
  </si>
  <si>
    <t>심화영어</t>
    <phoneticPr fontId="3" type="noConversion"/>
  </si>
  <si>
    <t>세계문화와 영어</t>
    <phoneticPr fontId="3" type="noConversion"/>
  </si>
  <si>
    <t>도시의 미래 탐구</t>
    <phoneticPr fontId="3" type="noConversion"/>
  </si>
  <si>
    <t>택3
9</t>
    <phoneticPr fontId="3" type="noConversion"/>
  </si>
  <si>
    <t>법과 사회</t>
  </si>
  <si>
    <t>인문학과 윤리</t>
    <phoneticPr fontId="3" type="noConversion"/>
  </si>
  <si>
    <t>전자기와 양자</t>
    <phoneticPr fontId="5" type="noConversion"/>
  </si>
  <si>
    <t>화학반응의 세계</t>
    <phoneticPr fontId="3" type="noConversion"/>
  </si>
  <si>
    <t>생물의 유전</t>
    <phoneticPr fontId="5" type="noConversion"/>
  </si>
  <si>
    <t>행성우주과학</t>
  </si>
  <si>
    <t>융합 과학 탐구</t>
    <phoneticPr fontId="3" type="noConversion"/>
  </si>
  <si>
    <t>한문 고전 읽기</t>
    <phoneticPr fontId="3" type="noConversion"/>
  </si>
  <si>
    <t>윤리문제 탐구</t>
    <phoneticPr fontId="3" type="noConversion"/>
  </si>
  <si>
    <t>사회문제 탐구</t>
    <phoneticPr fontId="3" type="noConversion"/>
  </si>
  <si>
    <t>기후변화와 지속가능한 세계</t>
    <phoneticPr fontId="3" type="noConversion"/>
  </si>
  <si>
    <t>과학의 역사와 문화</t>
    <phoneticPr fontId="5" type="noConversion"/>
  </si>
  <si>
    <t>기후변화와 환경생태</t>
    <phoneticPr fontId="5" type="noConversion"/>
  </si>
  <si>
    <t>소프트웨어와 생활</t>
    <phoneticPr fontId="3" type="noConversion"/>
  </si>
  <si>
    <t>중국문화</t>
  </si>
  <si>
    <t>교양</t>
    <phoneticPr fontId="5" type="noConversion"/>
  </si>
  <si>
    <t>생태와 환경</t>
    <phoneticPr fontId="5" type="noConversion"/>
  </si>
  <si>
    <t>인간과 철학</t>
  </si>
  <si>
    <t>논리와 사고</t>
    <phoneticPr fontId="5" type="noConversion"/>
  </si>
  <si>
    <t>인간과 경제활동</t>
    <phoneticPr fontId="5" type="noConversion"/>
  </si>
  <si>
    <t>택1
4</t>
    <phoneticPr fontId="3" type="noConversion"/>
  </si>
  <si>
    <t>미술과 매체</t>
    <phoneticPr fontId="3" type="noConversion"/>
  </si>
  <si>
    <t>미술 감상과 비평</t>
    <phoneticPr fontId="3" type="noConversion"/>
  </si>
  <si>
    <t>진로 · 학업 설계</t>
    <phoneticPr fontId="3" type="noConversion"/>
  </si>
  <si>
    <t>진로 · 직업 탐구</t>
    <phoneticPr fontId="3" type="noConversion"/>
  </si>
  <si>
    <t>택1
3</t>
    <phoneticPr fontId="3" type="noConversion"/>
  </si>
  <si>
    <t>인공지능기초</t>
    <phoneticPr fontId="3" type="noConversion"/>
  </si>
  <si>
    <t>인간과 심리</t>
    <phoneticPr fontId="3" type="noConversion"/>
  </si>
  <si>
    <t>중국어</t>
    <phoneticPr fontId="5" type="noConversion"/>
  </si>
  <si>
    <t xml:space="preserve">한문 </t>
    <phoneticPr fontId="3" type="noConversion"/>
  </si>
  <si>
    <t>택1
3</t>
    <phoneticPr fontId="5" type="noConversion"/>
  </si>
  <si>
    <t>편성학점</t>
    <phoneticPr fontId="5" type="noConversion"/>
  </si>
  <si>
    <t>학교 지정 교과 이수 학점 소계</t>
    <phoneticPr fontId="3" type="noConversion"/>
  </si>
  <si>
    <t>학
생
선
택</t>
    <phoneticPr fontId="3" type="noConversion"/>
  </si>
  <si>
    <t>교과 이수 학점 소계</t>
    <phoneticPr fontId="3" type="noConversion"/>
  </si>
  <si>
    <t>창의적 체험활동</t>
    <phoneticPr fontId="3" type="noConversion"/>
  </si>
  <si>
    <t>학기별 총 이수 학점 계</t>
    <phoneticPr fontId="3" type="noConversion"/>
  </si>
  <si>
    <t>학기당 이수 과목 수</t>
    <phoneticPr fontId="3" type="noConversion"/>
  </si>
  <si>
    <t>택1
(3)</t>
    <phoneticPr fontId="3" type="noConversion"/>
  </si>
  <si>
    <t>2026학년도 입학생 3개년 교육과정 편제표(구미제일고)</t>
    <phoneticPr fontId="3" type="noConversion"/>
  </si>
  <si>
    <t>기술· 가정
/한문/예술</t>
    <phoneticPr fontId="3" type="noConversion"/>
  </si>
  <si>
    <t>기술· 가정
/제2외국어
/예술</t>
    <phoneticPr fontId="3" type="noConversion"/>
  </si>
  <si>
    <t>기술· 가정/
/한문/제2외국어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</si>
</sst>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25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함초롬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돋움"/>
      <family val="3"/>
      <charset val="129"/>
    </font>
    <font>
      <b/>
      <sz val="11"/>
      <color theme="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함초롬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6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20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shrinkToFit="1"/>
    </xf>
    <xf numFmtId="0" fontId="7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1" fillId="2" borderId="47" xfId="0" quotePrefix="1" applyFont="1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1" fillId="2" borderId="33" xfId="0" applyNumberFormat="1" applyFont="1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49" fontId="1" fillId="0" borderId="33" xfId="0" quotePrefix="1" applyNumberFormat="1" applyFont="1" applyFill="1" applyBorder="1" applyAlignment="1">
      <alignment horizontal="center" vertical="center"/>
    </xf>
    <xf numFmtId="49" fontId="1" fillId="2" borderId="33" xfId="0" quotePrefix="1" applyNumberFormat="1" applyFont="1" applyFill="1" applyBorder="1" applyAlignment="1">
      <alignment horizontal="center" vertical="center"/>
    </xf>
    <xf numFmtId="0" fontId="1" fillId="0" borderId="33" xfId="0" applyNumberFormat="1" applyFont="1" applyBorder="1" applyAlignment="1">
      <alignment horizontal="center" vertical="center"/>
    </xf>
    <xf numFmtId="0" fontId="1" fillId="2" borderId="42" xfId="0" quotePrefix="1" applyFont="1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2" borderId="28" xfId="0" applyFont="1" applyFill="1" applyBorder="1" applyAlignment="1">
      <alignment vertical="center" wrapText="1"/>
    </xf>
    <xf numFmtId="0" fontId="1" fillId="2" borderId="25" xfId="0" applyFont="1" applyFill="1" applyBorder="1" applyAlignment="1">
      <alignment vertical="center" wrapText="1"/>
    </xf>
    <xf numFmtId="0" fontId="1" fillId="0" borderId="34" xfId="0" applyFont="1" applyBorder="1" applyAlignment="1">
      <alignment horizontal="center" vertical="center"/>
    </xf>
    <xf numFmtId="0" fontId="1" fillId="2" borderId="33" xfId="0" applyFont="1" applyFill="1" applyBorder="1" applyAlignment="1">
      <alignment vertical="center" wrapText="1"/>
    </xf>
    <xf numFmtId="0" fontId="1" fillId="2" borderId="35" xfId="0" applyFont="1" applyFill="1" applyBorder="1" applyAlignment="1">
      <alignment vertical="center" wrapText="1"/>
    </xf>
    <xf numFmtId="0" fontId="0" fillId="0" borderId="4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" fillId="2" borderId="40" xfId="0" applyFont="1" applyFill="1" applyBorder="1" applyAlignment="1">
      <alignment vertical="center" wrapText="1"/>
    </xf>
    <xf numFmtId="0" fontId="1" fillId="2" borderId="46" xfId="0" applyFont="1" applyFill="1" applyBorder="1" applyAlignment="1">
      <alignment vertical="center" wrapText="1"/>
    </xf>
    <xf numFmtId="0" fontId="1" fillId="2" borderId="47" xfId="0" applyFont="1" applyFill="1" applyBorder="1" applyAlignment="1">
      <alignment vertical="center" wrapText="1"/>
    </xf>
    <xf numFmtId="0" fontId="1" fillId="2" borderId="45" xfId="0" applyFont="1" applyFill="1" applyBorder="1" applyAlignment="1">
      <alignment vertical="center" wrapText="1"/>
    </xf>
    <xf numFmtId="0" fontId="1" fillId="0" borderId="25" xfId="0" applyFont="1" applyFill="1" applyBorder="1" applyAlignment="1">
      <alignment vertical="center" wrapText="1"/>
    </xf>
    <xf numFmtId="0" fontId="1" fillId="0" borderId="28" xfId="0" applyFont="1" applyFill="1" applyBorder="1" applyAlignment="1">
      <alignment vertical="center" wrapText="1"/>
    </xf>
    <xf numFmtId="0" fontId="1" fillId="0" borderId="35" xfId="0" applyFont="1" applyFill="1" applyBorder="1" applyAlignment="1">
      <alignment vertical="center" wrapText="1"/>
    </xf>
    <xf numFmtId="0" fontId="1" fillId="0" borderId="33" xfId="0" applyFont="1" applyFill="1" applyBorder="1" applyAlignment="1">
      <alignment vertical="center" wrapText="1"/>
    </xf>
    <xf numFmtId="0" fontId="1" fillId="0" borderId="42" xfId="0" applyFont="1" applyFill="1" applyBorder="1" applyAlignment="1">
      <alignment vertical="center" wrapText="1"/>
    </xf>
    <xf numFmtId="0" fontId="1" fillId="0" borderId="40" xfId="0" applyFont="1" applyFill="1" applyBorder="1" applyAlignment="1">
      <alignment vertical="center" wrapText="1"/>
    </xf>
    <xf numFmtId="0" fontId="1" fillId="0" borderId="21" xfId="0" applyFont="1" applyFill="1" applyBorder="1" applyAlignment="1">
      <alignment vertical="center" wrapText="1"/>
    </xf>
    <xf numFmtId="0" fontId="1" fillId="0" borderId="45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12" xfId="0" applyFont="1" applyFill="1" applyBorder="1" applyAlignment="1">
      <alignment vertical="center" wrapText="1"/>
    </xf>
    <xf numFmtId="0" fontId="7" fillId="0" borderId="59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46" xfId="0" applyFont="1" applyFill="1" applyBorder="1" applyAlignment="1">
      <alignment vertical="center" wrapText="1"/>
    </xf>
    <xf numFmtId="0" fontId="1" fillId="0" borderId="47" xfId="0" applyFont="1" applyFill="1" applyBorder="1" applyAlignment="1">
      <alignment vertical="center" wrapText="1"/>
    </xf>
    <xf numFmtId="0" fontId="7" fillId="2" borderId="39" xfId="0" applyFon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6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64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vertical="center" wrapText="1"/>
    </xf>
    <xf numFmtId="0" fontId="1" fillId="2" borderId="65" xfId="0" applyFont="1" applyFill="1" applyBorder="1" applyAlignment="1">
      <alignment vertical="center" wrapText="1"/>
    </xf>
    <xf numFmtId="0" fontId="0" fillId="0" borderId="26" xfId="0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 wrapText="1"/>
    </xf>
    <xf numFmtId="0" fontId="1" fillId="2" borderId="69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1" fillId="2" borderId="70" xfId="0" applyFont="1" applyFill="1" applyBorder="1" applyAlignment="1">
      <alignment vertical="center" wrapText="1"/>
    </xf>
    <xf numFmtId="0" fontId="1" fillId="2" borderId="63" xfId="0" applyFont="1" applyFill="1" applyBorder="1" applyAlignment="1">
      <alignment vertical="center" wrapText="1"/>
    </xf>
    <xf numFmtId="0" fontId="0" fillId="0" borderId="2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" fillId="2" borderId="64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2" borderId="9" xfId="0" applyFont="1" applyFill="1" applyBorder="1" applyAlignment="1">
      <alignment vertical="center" wrapText="1"/>
    </xf>
    <xf numFmtId="0" fontId="1" fillId="0" borderId="21" xfId="0" quotePrefix="1" applyFont="1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vertical="center" wrapText="1"/>
    </xf>
    <xf numFmtId="0" fontId="1" fillId="2" borderId="41" xfId="0" applyFont="1" applyFill="1" applyBorder="1" applyAlignment="1">
      <alignment vertical="center" wrapText="1"/>
    </xf>
    <xf numFmtId="0" fontId="0" fillId="2" borderId="47" xfId="0" applyFill="1" applyBorder="1" applyAlignment="1">
      <alignment horizontal="center" vertical="center"/>
    </xf>
    <xf numFmtId="0" fontId="1" fillId="2" borderId="29" xfId="0" quotePrefix="1" applyFont="1" applyFill="1" applyBorder="1" applyAlignment="1">
      <alignment horizontal="center" vertical="center"/>
    </xf>
    <xf numFmtId="0" fontId="1" fillId="2" borderId="48" xfId="0" quotePrefix="1" applyFont="1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49" fontId="1" fillId="0" borderId="49" xfId="0" quotePrefix="1" applyNumberFormat="1" applyFont="1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1" fillId="0" borderId="34" xfId="0" quotePrefix="1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0" fillId="0" borderId="41" xfId="0" applyBorder="1" applyAlignment="1">
      <alignment vertical="center"/>
    </xf>
    <xf numFmtId="0" fontId="0" fillId="0" borderId="38" xfId="0" applyBorder="1" applyAlignment="1">
      <alignment vertical="center"/>
    </xf>
    <xf numFmtId="0" fontId="1" fillId="2" borderId="41" xfId="0" quotePrefix="1" applyFont="1" applyFill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2" fillId="0" borderId="63" xfId="0" applyFont="1" applyBorder="1" applyAlignment="1">
      <alignment vertical="center" wrapText="1"/>
    </xf>
    <xf numFmtId="0" fontId="0" fillId="2" borderId="25" xfId="0" applyFill="1" applyBorder="1" applyAlignment="1">
      <alignment horizontal="center" vertical="center"/>
    </xf>
    <xf numFmtId="49" fontId="1" fillId="2" borderId="28" xfId="0" quotePrefix="1" applyNumberFormat="1" applyFont="1" applyFill="1" applyBorder="1" applyAlignment="1">
      <alignment horizontal="center" vertical="center"/>
    </xf>
    <xf numFmtId="0" fontId="8" fillId="2" borderId="52" xfId="0" applyFont="1" applyFill="1" applyBorder="1" applyAlignment="1">
      <alignment vertical="center"/>
    </xf>
    <xf numFmtId="0" fontId="8" fillId="2" borderId="54" xfId="0" applyFont="1" applyFill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/>
    </xf>
    <xf numFmtId="0" fontId="8" fillId="2" borderId="56" xfId="0" applyFont="1" applyFill="1" applyBorder="1" applyAlignment="1">
      <alignment horizontal="center" vertical="center"/>
    </xf>
    <xf numFmtId="0" fontId="8" fillId="2" borderId="57" xfId="0" applyFont="1" applyFill="1" applyBorder="1" applyAlignment="1">
      <alignment horizontal="center" vertical="center"/>
    </xf>
    <xf numFmtId="0" fontId="9" fillId="2" borderId="58" xfId="0" applyFont="1" applyFill="1" applyBorder="1" applyAlignment="1">
      <alignment horizontal="center" vertical="center" wrapText="1"/>
    </xf>
    <xf numFmtId="0" fontId="1" fillId="2" borderId="25" xfId="0" applyNumberFormat="1" applyFont="1" applyFill="1" applyBorder="1" applyAlignment="1">
      <alignment horizontal="center" vertical="center"/>
    </xf>
    <xf numFmtId="49" fontId="1" fillId="2" borderId="28" xfId="0" applyNumberFormat="1" applyFont="1" applyFill="1" applyBorder="1" applyAlignment="1">
      <alignment horizontal="center" vertical="center"/>
    </xf>
    <xf numFmtId="0" fontId="6" fillId="2" borderId="54" xfId="0" applyFont="1" applyFill="1" applyBorder="1" applyAlignment="1">
      <alignment horizontal="center" vertical="center"/>
    </xf>
    <xf numFmtId="0" fontId="6" fillId="2" borderId="57" xfId="0" applyFont="1" applyFill="1" applyBorder="1" applyAlignment="1">
      <alignment horizontal="center" vertical="center"/>
    </xf>
    <xf numFmtId="0" fontId="6" fillId="2" borderId="53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71" xfId="0" applyFont="1" applyFill="1" applyBorder="1" applyAlignment="1">
      <alignment horizontal="center" vertical="center"/>
    </xf>
    <xf numFmtId="0" fontId="7" fillId="2" borderId="72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2" borderId="60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2" borderId="15" xfId="0" applyFont="1" applyFill="1" applyBorder="1" applyAlignment="1">
      <alignment horizontal="center" vertical="center" wrapText="1"/>
    </xf>
    <xf numFmtId="0" fontId="0" fillId="2" borderId="2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42" xfId="0" quotePrefix="1" applyNumberFormat="1" applyFont="1" applyFill="1" applyBorder="1" applyAlignment="1">
      <alignment horizontal="center" vertical="center" wrapText="1"/>
    </xf>
    <xf numFmtId="0" fontId="1" fillId="2" borderId="17" xfId="0" quotePrefix="1" applyNumberFormat="1" applyFont="1" applyFill="1" applyBorder="1" applyAlignment="1">
      <alignment horizontal="center" vertical="center"/>
    </xf>
    <xf numFmtId="0" fontId="1" fillId="2" borderId="40" xfId="0" applyNumberFormat="1" applyFont="1" applyFill="1" applyBorder="1" applyAlignment="1">
      <alignment horizontal="center" vertical="center" wrapText="1"/>
    </xf>
    <xf numFmtId="0" fontId="1" fillId="2" borderId="19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60" xfId="0" applyFont="1" applyBorder="1" applyAlignment="1">
      <alignment horizontal="center" vertical="center" shrinkToFit="1"/>
    </xf>
    <xf numFmtId="0" fontId="4" fillId="0" borderId="37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61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4" fillId="0" borderId="69" xfId="0" applyFont="1" applyBorder="1" applyAlignment="1">
      <alignment horizontal="center" vertical="center" shrinkToFi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0"/>
  <sheetViews>
    <sheetView tabSelected="1" workbookViewId="0">
      <selection sqref="A1:M1"/>
    </sheetView>
  </sheetViews>
  <sheetFormatPr defaultColWidth="8.8984375" defaultRowHeight="14.4" x14ac:dyDescent="0.25"/>
  <cols>
    <col min="1" max="1" width="8.8984375" style="2"/>
    <col min="2" max="2" width="13.296875" style="2" bestFit="1" customWidth="1"/>
    <col min="3" max="3" width="22.69921875" style="2" bestFit="1" customWidth="1"/>
    <col min="4" max="4" width="7.796875" style="2" customWidth="1"/>
    <col min="5" max="5" width="7.09765625" style="2" customWidth="1"/>
    <col min="6" max="6" width="7.09765625" style="2" bestFit="1" customWidth="1"/>
    <col min="7" max="12" width="8.8984375" style="2"/>
    <col min="13" max="14" width="5.3984375" style="2" customWidth="1"/>
    <col min="15" max="16384" width="8.8984375" style="2"/>
  </cols>
  <sheetData>
    <row r="1" spans="1:15" ht="38.4" thickBot="1" x14ac:dyDescent="0.3">
      <c r="A1" s="212" t="s">
        <v>143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1"/>
    </row>
    <row r="2" spans="1:15" ht="16.5" customHeight="1" x14ac:dyDescent="0.25">
      <c r="A2" s="213" t="s">
        <v>0</v>
      </c>
      <c r="B2" s="216" t="s">
        <v>1</v>
      </c>
      <c r="C2" s="219" t="s">
        <v>2</v>
      </c>
      <c r="D2" s="222" t="s">
        <v>3</v>
      </c>
      <c r="E2" s="222" t="s">
        <v>4</v>
      </c>
      <c r="F2" s="225" t="s">
        <v>135</v>
      </c>
      <c r="G2" s="213" t="s">
        <v>5</v>
      </c>
      <c r="H2" s="228"/>
      <c r="I2" s="213" t="s">
        <v>6</v>
      </c>
      <c r="J2" s="228"/>
      <c r="K2" s="213" t="s">
        <v>7</v>
      </c>
      <c r="L2" s="228"/>
      <c r="M2" s="209" t="s">
        <v>8</v>
      </c>
      <c r="N2" s="209" t="s">
        <v>9</v>
      </c>
      <c r="O2" s="3"/>
    </row>
    <row r="3" spans="1:15" ht="17.399999999999999" customHeight="1" x14ac:dyDescent="0.25">
      <c r="A3" s="214"/>
      <c r="B3" s="217"/>
      <c r="C3" s="220"/>
      <c r="D3" s="223"/>
      <c r="E3" s="223"/>
      <c r="F3" s="226"/>
      <c r="G3" s="229"/>
      <c r="H3" s="230"/>
      <c r="I3" s="229"/>
      <c r="J3" s="230"/>
      <c r="K3" s="229"/>
      <c r="L3" s="230"/>
      <c r="M3" s="210"/>
      <c r="N3" s="210"/>
      <c r="O3" s="3"/>
    </row>
    <row r="4" spans="1:15" ht="18" thickBot="1" x14ac:dyDescent="0.3">
      <c r="A4" s="215"/>
      <c r="B4" s="218"/>
      <c r="C4" s="221"/>
      <c r="D4" s="224"/>
      <c r="E4" s="224"/>
      <c r="F4" s="227"/>
      <c r="G4" s="4" t="s">
        <v>11</v>
      </c>
      <c r="H4" s="5" t="s">
        <v>12</v>
      </c>
      <c r="I4" s="6" t="s">
        <v>13</v>
      </c>
      <c r="J4" s="7" t="s">
        <v>14</v>
      </c>
      <c r="K4" s="8" t="s">
        <v>13</v>
      </c>
      <c r="L4" s="7" t="s">
        <v>14</v>
      </c>
      <c r="M4" s="211"/>
      <c r="N4" s="211"/>
    </row>
    <row r="5" spans="1:15" ht="16.5" customHeight="1" x14ac:dyDescent="0.25">
      <c r="A5" s="184" t="s">
        <v>15</v>
      </c>
      <c r="B5" s="189" t="s">
        <v>16</v>
      </c>
      <c r="C5" s="157" t="s">
        <v>17</v>
      </c>
      <c r="D5" s="9" t="s">
        <v>18</v>
      </c>
      <c r="E5" s="10">
        <v>4</v>
      </c>
      <c r="F5" s="11">
        <v>3</v>
      </c>
      <c r="G5" s="12">
        <v>3</v>
      </c>
      <c r="H5" s="10"/>
      <c r="I5" s="13"/>
      <c r="J5" s="11"/>
      <c r="K5" s="12"/>
      <c r="L5" s="11"/>
      <c r="M5" s="184">
        <f>SUM(G5:L9)</f>
        <v>17</v>
      </c>
      <c r="N5" s="184">
        <v>8</v>
      </c>
    </row>
    <row r="6" spans="1:15" ht="16.5" customHeight="1" x14ac:dyDescent="0.25">
      <c r="A6" s="185"/>
      <c r="B6" s="182"/>
      <c r="C6" s="158" t="s">
        <v>19</v>
      </c>
      <c r="D6" s="15" t="s">
        <v>18</v>
      </c>
      <c r="E6" s="16">
        <v>4</v>
      </c>
      <c r="F6" s="17">
        <v>3</v>
      </c>
      <c r="G6" s="18"/>
      <c r="H6" s="16">
        <v>3</v>
      </c>
      <c r="I6" s="19"/>
      <c r="J6" s="17"/>
      <c r="K6" s="18"/>
      <c r="L6" s="17"/>
      <c r="M6" s="185"/>
      <c r="N6" s="185"/>
    </row>
    <row r="7" spans="1:15" ht="16.5" customHeight="1" x14ac:dyDescent="0.25">
      <c r="A7" s="185"/>
      <c r="B7" s="182"/>
      <c r="C7" s="158" t="s">
        <v>20</v>
      </c>
      <c r="D7" s="15" t="s">
        <v>10</v>
      </c>
      <c r="E7" s="16">
        <v>4</v>
      </c>
      <c r="F7" s="17">
        <v>4</v>
      </c>
      <c r="G7" s="18"/>
      <c r="H7" s="16"/>
      <c r="I7" s="19">
        <v>4</v>
      </c>
      <c r="J7" s="17"/>
      <c r="K7" s="18"/>
      <c r="L7" s="17"/>
      <c r="M7" s="185"/>
      <c r="N7" s="185"/>
    </row>
    <row r="8" spans="1:15" ht="16.5" customHeight="1" x14ac:dyDescent="0.25">
      <c r="A8" s="185"/>
      <c r="B8" s="182"/>
      <c r="C8" s="158" t="s">
        <v>21</v>
      </c>
      <c r="D8" s="15" t="s">
        <v>10</v>
      </c>
      <c r="E8" s="16">
        <v>4</v>
      </c>
      <c r="F8" s="17">
        <v>3</v>
      </c>
      <c r="G8" s="18"/>
      <c r="H8" s="16"/>
      <c r="I8" s="19"/>
      <c r="J8" s="17">
        <v>3</v>
      </c>
      <c r="K8" s="18"/>
      <c r="L8" s="17"/>
      <c r="M8" s="185"/>
      <c r="N8" s="185"/>
    </row>
    <row r="9" spans="1:15" ht="16.5" customHeight="1" thickBot="1" x14ac:dyDescent="0.3">
      <c r="A9" s="185"/>
      <c r="B9" s="182"/>
      <c r="C9" s="120" t="s">
        <v>22</v>
      </c>
      <c r="D9" s="20" t="s">
        <v>10</v>
      </c>
      <c r="E9" s="16">
        <v>4</v>
      </c>
      <c r="F9" s="17">
        <v>4</v>
      </c>
      <c r="G9" s="21"/>
      <c r="H9" s="22"/>
      <c r="I9" s="23"/>
      <c r="J9" s="24"/>
      <c r="K9" s="21">
        <v>4</v>
      </c>
      <c r="L9" s="24"/>
      <c r="M9" s="185"/>
      <c r="N9" s="185"/>
    </row>
    <row r="10" spans="1:15" ht="15" x14ac:dyDescent="0.25">
      <c r="A10" s="185"/>
      <c r="B10" s="189" t="s">
        <v>23</v>
      </c>
      <c r="C10" s="157" t="s">
        <v>24</v>
      </c>
      <c r="D10" s="9" t="s">
        <v>18</v>
      </c>
      <c r="E10" s="10">
        <v>4</v>
      </c>
      <c r="F10" s="11">
        <v>4</v>
      </c>
      <c r="G10" s="12">
        <v>4</v>
      </c>
      <c r="H10" s="10"/>
      <c r="I10" s="13"/>
      <c r="J10" s="11"/>
      <c r="K10" s="12"/>
      <c r="L10" s="11"/>
      <c r="M10" s="184">
        <f>SUM(G10:L14)</f>
        <v>19</v>
      </c>
      <c r="N10" s="184">
        <v>8</v>
      </c>
    </row>
    <row r="11" spans="1:15" ht="15" x14ac:dyDescent="0.25">
      <c r="A11" s="185"/>
      <c r="B11" s="182"/>
      <c r="C11" s="120" t="s">
        <v>25</v>
      </c>
      <c r="D11" s="20" t="s">
        <v>18</v>
      </c>
      <c r="E11" s="22">
        <v>4</v>
      </c>
      <c r="F11" s="24">
        <v>4</v>
      </c>
      <c r="G11" s="21"/>
      <c r="H11" s="22">
        <v>4</v>
      </c>
      <c r="I11" s="23"/>
      <c r="J11" s="24"/>
      <c r="K11" s="21"/>
      <c r="L11" s="24"/>
      <c r="M11" s="185"/>
      <c r="N11" s="185"/>
    </row>
    <row r="12" spans="1:15" ht="15" x14ac:dyDescent="0.25">
      <c r="A12" s="185"/>
      <c r="B12" s="182"/>
      <c r="C12" s="158" t="s">
        <v>26</v>
      </c>
      <c r="D12" s="15" t="s">
        <v>10</v>
      </c>
      <c r="E12" s="16">
        <v>4</v>
      </c>
      <c r="F12" s="17">
        <v>4</v>
      </c>
      <c r="G12" s="18"/>
      <c r="H12" s="16"/>
      <c r="I12" s="19">
        <v>4</v>
      </c>
      <c r="J12" s="17"/>
      <c r="K12" s="18"/>
      <c r="L12" s="17"/>
      <c r="M12" s="185"/>
      <c r="N12" s="185"/>
    </row>
    <row r="13" spans="1:15" ht="15" x14ac:dyDescent="0.25">
      <c r="A13" s="185"/>
      <c r="B13" s="182"/>
      <c r="C13" s="121" t="s">
        <v>27</v>
      </c>
      <c r="D13" s="25" t="s">
        <v>10</v>
      </c>
      <c r="E13" s="26">
        <v>4</v>
      </c>
      <c r="F13" s="27">
        <v>4</v>
      </c>
      <c r="G13" s="28"/>
      <c r="H13" s="26"/>
      <c r="I13" s="29"/>
      <c r="J13" s="27">
        <v>4</v>
      </c>
      <c r="K13" s="28"/>
      <c r="L13" s="27"/>
      <c r="M13" s="185"/>
      <c r="N13" s="185"/>
    </row>
    <row r="14" spans="1:15" ht="15.6" thickBot="1" x14ac:dyDescent="0.3">
      <c r="A14" s="185"/>
      <c r="B14" s="182"/>
      <c r="C14" s="122" t="s">
        <v>28</v>
      </c>
      <c r="D14" s="30" t="s">
        <v>10</v>
      </c>
      <c r="E14" s="31">
        <v>4</v>
      </c>
      <c r="F14" s="32">
        <v>3</v>
      </c>
      <c r="G14" s="33"/>
      <c r="H14" s="31"/>
      <c r="I14" s="34"/>
      <c r="J14" s="32">
        <v>3</v>
      </c>
      <c r="K14" s="33"/>
      <c r="L14" s="32"/>
      <c r="M14" s="185"/>
      <c r="N14" s="185"/>
    </row>
    <row r="15" spans="1:15" ht="15" x14ac:dyDescent="0.25">
      <c r="A15" s="185"/>
      <c r="B15" s="181" t="s">
        <v>29</v>
      </c>
      <c r="C15" s="157" t="s">
        <v>30</v>
      </c>
      <c r="D15" s="9" t="s">
        <v>18</v>
      </c>
      <c r="E15" s="10">
        <v>4</v>
      </c>
      <c r="F15" s="11">
        <v>4</v>
      </c>
      <c r="G15" s="12">
        <v>4</v>
      </c>
      <c r="H15" s="10"/>
      <c r="I15" s="13"/>
      <c r="J15" s="11"/>
      <c r="K15" s="12"/>
      <c r="L15" s="11"/>
      <c r="M15" s="184">
        <f>SUM(G15:L19)</f>
        <v>20</v>
      </c>
      <c r="N15" s="184">
        <v>8</v>
      </c>
    </row>
    <row r="16" spans="1:15" ht="15" x14ac:dyDescent="0.25">
      <c r="A16" s="185"/>
      <c r="B16" s="182"/>
      <c r="C16" s="158" t="s">
        <v>31</v>
      </c>
      <c r="D16" s="15" t="s">
        <v>18</v>
      </c>
      <c r="E16" s="16">
        <v>4</v>
      </c>
      <c r="F16" s="17">
        <v>4</v>
      </c>
      <c r="G16" s="18"/>
      <c r="H16" s="16">
        <v>4</v>
      </c>
      <c r="I16" s="35"/>
      <c r="J16" s="36"/>
      <c r="K16" s="37"/>
      <c r="L16" s="36"/>
      <c r="M16" s="185"/>
      <c r="N16" s="185"/>
    </row>
    <row r="17" spans="1:14" ht="15" x14ac:dyDescent="0.25">
      <c r="A17" s="185"/>
      <c r="B17" s="182"/>
      <c r="C17" s="159" t="s">
        <v>32</v>
      </c>
      <c r="D17" s="38" t="s">
        <v>10</v>
      </c>
      <c r="E17" s="39">
        <v>4</v>
      </c>
      <c r="F17" s="36">
        <v>4</v>
      </c>
      <c r="G17" s="37"/>
      <c r="H17" s="39"/>
      <c r="I17" s="35">
        <v>4</v>
      </c>
      <c r="J17" s="36"/>
      <c r="K17" s="37"/>
      <c r="L17" s="36"/>
      <c r="M17" s="185"/>
      <c r="N17" s="185"/>
    </row>
    <row r="18" spans="1:14" ht="15" x14ac:dyDescent="0.25">
      <c r="A18" s="185"/>
      <c r="B18" s="182"/>
      <c r="C18" s="158" t="s">
        <v>33</v>
      </c>
      <c r="D18" s="15" t="s">
        <v>10</v>
      </c>
      <c r="E18" s="16">
        <v>4</v>
      </c>
      <c r="F18" s="17">
        <v>4</v>
      </c>
      <c r="G18" s="18"/>
      <c r="H18" s="16"/>
      <c r="I18" s="19"/>
      <c r="J18" s="17">
        <v>4</v>
      </c>
      <c r="K18" s="18"/>
      <c r="L18" s="17"/>
      <c r="M18" s="185"/>
      <c r="N18" s="185"/>
    </row>
    <row r="19" spans="1:14" ht="15.6" thickBot="1" x14ac:dyDescent="0.3">
      <c r="A19" s="185"/>
      <c r="B19" s="183"/>
      <c r="C19" s="122" t="s">
        <v>92</v>
      </c>
      <c r="D19" s="40" t="s">
        <v>10</v>
      </c>
      <c r="E19" s="61">
        <v>4</v>
      </c>
      <c r="F19" s="32">
        <v>4</v>
      </c>
      <c r="G19" s="37"/>
      <c r="H19" s="39"/>
      <c r="I19" s="105"/>
      <c r="J19" s="36"/>
      <c r="K19" s="37">
        <v>4</v>
      </c>
      <c r="L19" s="36"/>
      <c r="M19" s="197"/>
      <c r="N19" s="197"/>
    </row>
    <row r="20" spans="1:14" ht="15" x14ac:dyDescent="0.25">
      <c r="A20" s="185"/>
      <c r="B20" s="189" t="s">
        <v>34</v>
      </c>
      <c r="C20" s="157" t="s">
        <v>35</v>
      </c>
      <c r="D20" s="9" t="s">
        <v>18</v>
      </c>
      <c r="E20" s="10">
        <v>3</v>
      </c>
      <c r="F20" s="11">
        <v>3</v>
      </c>
      <c r="G20" s="12">
        <v>3</v>
      </c>
      <c r="H20" s="10"/>
      <c r="I20" s="13"/>
      <c r="J20" s="11"/>
      <c r="K20" s="12"/>
      <c r="L20" s="11"/>
      <c r="M20" s="184">
        <f>SUM(G20:L23)</f>
        <v>14</v>
      </c>
      <c r="N20" s="184">
        <v>14</v>
      </c>
    </row>
    <row r="21" spans="1:14" ht="15" x14ac:dyDescent="0.25">
      <c r="A21" s="185"/>
      <c r="B21" s="193"/>
      <c r="C21" s="158" t="s">
        <v>36</v>
      </c>
      <c r="D21" s="15" t="s">
        <v>18</v>
      </c>
      <c r="E21" s="16">
        <v>3</v>
      </c>
      <c r="F21" s="17">
        <v>3</v>
      </c>
      <c r="G21" s="18"/>
      <c r="H21" s="16">
        <v>3</v>
      </c>
      <c r="I21" s="19"/>
      <c r="J21" s="17"/>
      <c r="K21" s="18"/>
      <c r="L21" s="17"/>
      <c r="M21" s="185"/>
      <c r="N21" s="185"/>
    </row>
    <row r="22" spans="1:14" ht="15" x14ac:dyDescent="0.25">
      <c r="A22" s="185"/>
      <c r="B22" s="193"/>
      <c r="C22" s="158" t="s">
        <v>37</v>
      </c>
      <c r="D22" s="15" t="s">
        <v>18</v>
      </c>
      <c r="E22" s="16">
        <v>4</v>
      </c>
      <c r="F22" s="17">
        <v>4</v>
      </c>
      <c r="G22" s="18">
        <v>4</v>
      </c>
      <c r="H22" s="16"/>
      <c r="I22" s="19"/>
      <c r="J22" s="17"/>
      <c r="K22" s="18"/>
      <c r="L22" s="17"/>
      <c r="M22" s="185"/>
      <c r="N22" s="185"/>
    </row>
    <row r="23" spans="1:14" ht="15.6" thickBot="1" x14ac:dyDescent="0.3">
      <c r="A23" s="185"/>
      <c r="B23" s="194"/>
      <c r="C23" s="122" t="s">
        <v>38</v>
      </c>
      <c r="D23" s="30" t="s">
        <v>18</v>
      </c>
      <c r="E23" s="31">
        <v>4</v>
      </c>
      <c r="F23" s="32">
        <v>4</v>
      </c>
      <c r="G23" s="33"/>
      <c r="H23" s="31">
        <v>4</v>
      </c>
      <c r="I23" s="34"/>
      <c r="J23" s="32"/>
      <c r="K23" s="33"/>
      <c r="L23" s="32"/>
      <c r="M23" s="197"/>
      <c r="N23" s="197"/>
    </row>
    <row r="24" spans="1:14" ht="15" x14ac:dyDescent="0.25">
      <c r="A24" s="185"/>
      <c r="B24" s="233" t="s">
        <v>39</v>
      </c>
      <c r="C24" s="159" t="s">
        <v>40</v>
      </c>
      <c r="D24" s="38" t="s">
        <v>18</v>
      </c>
      <c r="E24" s="39">
        <v>4</v>
      </c>
      <c r="F24" s="36">
        <v>4</v>
      </c>
      <c r="G24" s="37">
        <v>4</v>
      </c>
      <c r="H24" s="39"/>
      <c r="I24" s="35"/>
      <c r="J24" s="36"/>
      <c r="K24" s="37"/>
      <c r="L24" s="36"/>
      <c r="M24" s="184">
        <f>SUM(G24:L27)</f>
        <v>10</v>
      </c>
      <c r="N24" s="184">
        <v>10</v>
      </c>
    </row>
    <row r="25" spans="1:14" ht="15" x14ac:dyDescent="0.25">
      <c r="A25" s="185"/>
      <c r="B25" s="193"/>
      <c r="C25" s="158" t="s">
        <v>41</v>
      </c>
      <c r="D25" s="15" t="s">
        <v>18</v>
      </c>
      <c r="E25" s="16">
        <v>4</v>
      </c>
      <c r="F25" s="17">
        <v>4</v>
      </c>
      <c r="G25" s="18"/>
      <c r="H25" s="16">
        <v>4</v>
      </c>
      <c r="I25" s="19"/>
      <c r="J25" s="17"/>
      <c r="K25" s="18"/>
      <c r="L25" s="17"/>
      <c r="M25" s="185"/>
      <c r="N25" s="185"/>
    </row>
    <row r="26" spans="1:14" ht="15" x14ac:dyDescent="0.25">
      <c r="A26" s="185"/>
      <c r="B26" s="193"/>
      <c r="C26" s="158" t="s">
        <v>42</v>
      </c>
      <c r="D26" s="15" t="s">
        <v>18</v>
      </c>
      <c r="E26" s="16">
        <v>1</v>
      </c>
      <c r="F26" s="17">
        <v>1</v>
      </c>
      <c r="G26" s="18">
        <v>1</v>
      </c>
      <c r="H26" s="16"/>
      <c r="I26" s="19"/>
      <c r="J26" s="17"/>
      <c r="K26" s="18"/>
      <c r="L26" s="17"/>
      <c r="M26" s="185"/>
      <c r="N26" s="185"/>
    </row>
    <row r="27" spans="1:14" ht="15.6" thickBot="1" x14ac:dyDescent="0.3">
      <c r="A27" s="185"/>
      <c r="B27" s="234"/>
      <c r="C27" s="121" t="s">
        <v>43</v>
      </c>
      <c r="D27" s="25" t="s">
        <v>18</v>
      </c>
      <c r="E27" s="26">
        <v>1</v>
      </c>
      <c r="F27" s="27">
        <v>1</v>
      </c>
      <c r="G27" s="28"/>
      <c r="H27" s="26">
        <v>1</v>
      </c>
      <c r="I27" s="29"/>
      <c r="J27" s="27"/>
      <c r="K27" s="28"/>
      <c r="L27" s="27"/>
      <c r="M27" s="197"/>
      <c r="N27" s="197"/>
    </row>
    <row r="28" spans="1:14" ht="15" x14ac:dyDescent="0.25">
      <c r="A28" s="185"/>
      <c r="B28" s="235" t="s">
        <v>44</v>
      </c>
      <c r="C28" s="157" t="s">
        <v>45</v>
      </c>
      <c r="D28" s="9" t="s">
        <v>46</v>
      </c>
      <c r="E28" s="10">
        <v>3</v>
      </c>
      <c r="F28" s="11">
        <v>2</v>
      </c>
      <c r="G28" s="12">
        <v>2</v>
      </c>
      <c r="H28" s="10"/>
      <c r="I28" s="13"/>
      <c r="J28" s="11"/>
      <c r="K28" s="12"/>
      <c r="L28" s="11"/>
      <c r="M28" s="184">
        <f>SUM(G28:L33)</f>
        <v>10</v>
      </c>
      <c r="N28" s="184">
        <v>10</v>
      </c>
    </row>
    <row r="29" spans="1:14" ht="15" x14ac:dyDescent="0.25">
      <c r="A29" s="185"/>
      <c r="B29" s="193"/>
      <c r="C29" s="158" t="s">
        <v>47</v>
      </c>
      <c r="D29" s="15" t="s">
        <v>46</v>
      </c>
      <c r="E29" s="16">
        <v>3</v>
      </c>
      <c r="F29" s="17">
        <v>2</v>
      </c>
      <c r="G29" s="18"/>
      <c r="H29" s="16">
        <v>2</v>
      </c>
      <c r="I29" s="19"/>
      <c r="J29" s="17"/>
      <c r="K29" s="18"/>
      <c r="L29" s="17"/>
      <c r="M29" s="185"/>
      <c r="N29" s="185"/>
    </row>
    <row r="30" spans="1:14" ht="15" x14ac:dyDescent="0.25">
      <c r="A30" s="185"/>
      <c r="B30" s="193"/>
      <c r="C30" s="158" t="s">
        <v>48</v>
      </c>
      <c r="D30" s="15" t="s">
        <v>49</v>
      </c>
      <c r="E30" s="16">
        <v>2</v>
      </c>
      <c r="F30" s="17">
        <v>1</v>
      </c>
      <c r="G30" s="18"/>
      <c r="H30" s="16"/>
      <c r="I30" s="19">
        <v>1</v>
      </c>
      <c r="J30" s="17"/>
      <c r="K30" s="18"/>
      <c r="L30" s="17"/>
      <c r="M30" s="185"/>
      <c r="N30" s="185"/>
    </row>
    <row r="31" spans="1:14" ht="15" x14ac:dyDescent="0.25">
      <c r="A31" s="185"/>
      <c r="B31" s="193"/>
      <c r="C31" s="158" t="s">
        <v>50</v>
      </c>
      <c r="D31" s="15" t="s">
        <v>49</v>
      </c>
      <c r="E31" s="16">
        <v>2</v>
      </c>
      <c r="F31" s="17">
        <v>1</v>
      </c>
      <c r="G31" s="18"/>
      <c r="H31" s="16"/>
      <c r="I31" s="29"/>
      <c r="J31" s="27">
        <v>1</v>
      </c>
      <c r="K31" s="18"/>
      <c r="L31" s="17"/>
      <c r="M31" s="185"/>
      <c r="N31" s="185"/>
    </row>
    <row r="32" spans="1:14" ht="15" x14ac:dyDescent="0.25">
      <c r="A32" s="185"/>
      <c r="B32" s="193"/>
      <c r="C32" s="158" t="s">
        <v>51</v>
      </c>
      <c r="D32" s="15" t="s">
        <v>52</v>
      </c>
      <c r="E32" s="16">
        <v>3</v>
      </c>
      <c r="F32" s="17">
        <v>2</v>
      </c>
      <c r="G32" s="18"/>
      <c r="H32" s="16"/>
      <c r="I32" s="19"/>
      <c r="J32" s="17"/>
      <c r="K32" s="19">
        <v>2</v>
      </c>
      <c r="L32" s="17"/>
      <c r="M32" s="185"/>
      <c r="N32" s="185"/>
    </row>
    <row r="33" spans="1:14" ht="15.6" thickBot="1" x14ac:dyDescent="0.3">
      <c r="A33" s="185"/>
      <c r="B33" s="194"/>
      <c r="C33" s="122" t="s">
        <v>53</v>
      </c>
      <c r="D33" s="30" t="s">
        <v>52</v>
      </c>
      <c r="E33" s="31">
        <v>3</v>
      </c>
      <c r="F33" s="32">
        <v>2</v>
      </c>
      <c r="G33" s="33"/>
      <c r="H33" s="31"/>
      <c r="I33" s="34"/>
      <c r="J33" s="32"/>
      <c r="K33" s="34"/>
      <c r="L33" s="32">
        <v>2</v>
      </c>
      <c r="M33" s="197"/>
      <c r="N33" s="197"/>
    </row>
    <row r="34" spans="1:14" ht="15.75" customHeight="1" x14ac:dyDescent="0.25">
      <c r="A34" s="185"/>
      <c r="B34" s="181" t="s">
        <v>54</v>
      </c>
      <c r="C34" s="158" t="s">
        <v>55</v>
      </c>
      <c r="D34" s="15" t="s">
        <v>10</v>
      </c>
      <c r="E34" s="16">
        <v>3</v>
      </c>
      <c r="F34" s="17">
        <v>3</v>
      </c>
      <c r="G34" s="139">
        <v>3</v>
      </c>
      <c r="H34" s="140" t="s">
        <v>56</v>
      </c>
      <c r="I34" s="41"/>
      <c r="J34" s="42"/>
      <c r="K34" s="37"/>
      <c r="L34" s="36"/>
      <c r="M34" s="184">
        <f>SUM(G34:L37)</f>
        <v>10</v>
      </c>
      <c r="N34" s="184">
        <v>10</v>
      </c>
    </row>
    <row r="35" spans="1:14" ht="15" x14ac:dyDescent="0.25">
      <c r="A35" s="185"/>
      <c r="B35" s="182"/>
      <c r="C35" s="158" t="s">
        <v>57</v>
      </c>
      <c r="D35" s="15" t="s">
        <v>46</v>
      </c>
      <c r="E35" s="16">
        <v>3</v>
      </c>
      <c r="F35" s="17">
        <v>3</v>
      </c>
      <c r="G35" s="49" t="s">
        <v>58</v>
      </c>
      <c r="H35" s="50">
        <v>3</v>
      </c>
      <c r="I35" s="43"/>
      <c r="J35" s="44"/>
      <c r="K35" s="18"/>
      <c r="L35" s="17"/>
      <c r="M35" s="185"/>
      <c r="N35" s="185"/>
    </row>
    <row r="36" spans="1:14" ht="15" x14ac:dyDescent="0.25">
      <c r="A36" s="185"/>
      <c r="B36" s="182"/>
      <c r="C36" s="158" t="s">
        <v>59</v>
      </c>
      <c r="D36" s="15" t="s">
        <v>49</v>
      </c>
      <c r="E36" s="16">
        <v>3</v>
      </c>
      <c r="F36" s="17">
        <v>2</v>
      </c>
      <c r="G36" s="45"/>
      <c r="H36" s="46"/>
      <c r="I36" s="43">
        <v>2</v>
      </c>
      <c r="J36" s="47"/>
      <c r="K36" s="18"/>
      <c r="L36" s="48"/>
      <c r="M36" s="185"/>
      <c r="N36" s="185"/>
    </row>
    <row r="37" spans="1:14" ht="15.6" thickBot="1" x14ac:dyDescent="0.3">
      <c r="A37" s="185"/>
      <c r="B37" s="182"/>
      <c r="C37" s="121" t="s">
        <v>60</v>
      </c>
      <c r="D37" s="25" t="s">
        <v>49</v>
      </c>
      <c r="E37" s="26">
        <v>3</v>
      </c>
      <c r="F37" s="27">
        <v>2</v>
      </c>
      <c r="G37" s="118"/>
      <c r="H37" s="119"/>
      <c r="I37" s="49"/>
      <c r="J37" s="50">
        <v>2</v>
      </c>
      <c r="K37" s="28"/>
      <c r="L37" s="27"/>
      <c r="M37" s="197"/>
      <c r="N37" s="197"/>
    </row>
    <row r="38" spans="1:14" ht="15" customHeight="1" x14ac:dyDescent="0.25">
      <c r="A38" s="185"/>
      <c r="B38" s="190" t="s">
        <v>119</v>
      </c>
      <c r="C38" s="160" t="s">
        <v>128</v>
      </c>
      <c r="D38" s="132" t="s">
        <v>73</v>
      </c>
      <c r="E38" s="91">
        <v>2</v>
      </c>
      <c r="F38" s="11">
        <v>1</v>
      </c>
      <c r="G38" s="130">
        <v>1</v>
      </c>
      <c r="H38" s="129"/>
      <c r="I38" s="126"/>
      <c r="J38" s="54"/>
      <c r="K38" s="12"/>
      <c r="L38" s="11"/>
      <c r="M38" s="231">
        <v>4</v>
      </c>
      <c r="N38" s="184">
        <v>16</v>
      </c>
    </row>
    <row r="39" spans="1:14" ht="15" customHeight="1" x14ac:dyDescent="0.25">
      <c r="A39" s="185"/>
      <c r="B39" s="191"/>
      <c r="C39" s="161" t="s">
        <v>127</v>
      </c>
      <c r="D39" s="14" t="s">
        <v>73</v>
      </c>
      <c r="E39" s="55">
        <v>2</v>
      </c>
      <c r="F39" s="17">
        <v>1</v>
      </c>
      <c r="G39" s="131"/>
      <c r="H39" s="128">
        <v>1</v>
      </c>
      <c r="I39" s="127"/>
      <c r="J39" s="125"/>
      <c r="K39" s="37"/>
      <c r="L39" s="36"/>
      <c r="M39" s="232"/>
      <c r="N39" s="185"/>
    </row>
    <row r="40" spans="1:14" ht="15.6" thickBot="1" x14ac:dyDescent="0.3">
      <c r="A40" s="185"/>
      <c r="B40" s="192"/>
      <c r="C40" s="155" t="s">
        <v>131</v>
      </c>
      <c r="D40" s="156" t="s">
        <v>73</v>
      </c>
      <c r="E40" s="61">
        <v>3</v>
      </c>
      <c r="F40" s="32">
        <v>2</v>
      </c>
      <c r="G40" s="133"/>
      <c r="H40" s="134"/>
      <c r="I40" s="135">
        <v>2</v>
      </c>
      <c r="J40" s="50"/>
      <c r="K40" s="28"/>
      <c r="L40" s="27"/>
      <c r="M40" s="232"/>
      <c r="N40" s="185"/>
    </row>
    <row r="41" spans="1:14" ht="18" thickBot="1" x14ac:dyDescent="0.3">
      <c r="A41" s="141"/>
      <c r="B41" s="187" t="s">
        <v>136</v>
      </c>
      <c r="C41" s="187"/>
      <c r="D41" s="187"/>
      <c r="E41" s="187"/>
      <c r="F41" s="188"/>
      <c r="G41" s="142">
        <f>SUM(G5:G39)</f>
        <v>29</v>
      </c>
      <c r="H41" s="143">
        <f>SUM(H5:H39)</f>
        <v>29</v>
      </c>
      <c r="I41" s="142">
        <f t="shared" ref="I41:N41" si="0">SUM(I5:I40)</f>
        <v>17</v>
      </c>
      <c r="J41" s="144">
        <f t="shared" si="0"/>
        <v>17</v>
      </c>
      <c r="K41" s="145">
        <f t="shared" si="0"/>
        <v>10</v>
      </c>
      <c r="L41" s="144">
        <f t="shared" si="0"/>
        <v>2</v>
      </c>
      <c r="M41" s="146">
        <f t="shared" si="0"/>
        <v>104</v>
      </c>
      <c r="N41" s="146">
        <f t="shared" si="0"/>
        <v>84</v>
      </c>
    </row>
    <row r="42" spans="1:14" ht="15.75" customHeight="1" x14ac:dyDescent="0.25">
      <c r="A42" s="190" t="s">
        <v>137</v>
      </c>
      <c r="B42" s="181" t="s">
        <v>34</v>
      </c>
      <c r="C42" s="162" t="s">
        <v>62</v>
      </c>
      <c r="D42" s="92" t="s">
        <v>63</v>
      </c>
      <c r="E42" s="16">
        <v>4</v>
      </c>
      <c r="F42" s="17">
        <v>3</v>
      </c>
      <c r="G42" s="12"/>
      <c r="H42" s="11"/>
      <c r="I42" s="202" t="s">
        <v>103</v>
      </c>
      <c r="J42" s="56"/>
      <c r="K42" s="57"/>
      <c r="L42" s="56"/>
      <c r="M42" s="190">
        <v>27</v>
      </c>
      <c r="N42" s="190"/>
    </row>
    <row r="43" spans="1:14" ht="15" x14ac:dyDescent="0.25">
      <c r="A43" s="186"/>
      <c r="B43" s="182"/>
      <c r="C43" s="162" t="s">
        <v>64</v>
      </c>
      <c r="D43" s="92" t="s">
        <v>63</v>
      </c>
      <c r="E43" s="16">
        <v>4</v>
      </c>
      <c r="F43" s="17">
        <v>3</v>
      </c>
      <c r="G43" s="58"/>
      <c r="H43" s="17"/>
      <c r="I43" s="203"/>
      <c r="J43" s="59"/>
      <c r="K43" s="60"/>
      <c r="L43" s="59"/>
      <c r="M43" s="191"/>
      <c r="N43" s="191"/>
    </row>
    <row r="44" spans="1:14" ht="15" x14ac:dyDescent="0.25">
      <c r="A44" s="186"/>
      <c r="B44" s="182"/>
      <c r="C44" s="162" t="s">
        <v>65</v>
      </c>
      <c r="D44" s="92" t="s">
        <v>63</v>
      </c>
      <c r="E44" s="16">
        <v>4</v>
      </c>
      <c r="F44" s="27">
        <v>3</v>
      </c>
      <c r="G44" s="18"/>
      <c r="H44" s="17"/>
      <c r="I44" s="203"/>
      <c r="J44" s="59"/>
      <c r="K44" s="60"/>
      <c r="L44" s="59"/>
      <c r="M44" s="191"/>
      <c r="N44" s="191"/>
    </row>
    <row r="45" spans="1:14" ht="15.6" thickBot="1" x14ac:dyDescent="0.3">
      <c r="A45" s="186"/>
      <c r="B45" s="182"/>
      <c r="C45" s="163" t="s">
        <v>66</v>
      </c>
      <c r="D45" s="93" t="s">
        <v>63</v>
      </c>
      <c r="E45" s="31">
        <v>4</v>
      </c>
      <c r="F45" s="32">
        <v>3</v>
      </c>
      <c r="G45" s="28"/>
      <c r="H45" s="27"/>
      <c r="I45" s="203"/>
      <c r="J45" s="59"/>
      <c r="K45" s="60"/>
      <c r="L45" s="59"/>
      <c r="M45" s="191"/>
      <c r="N45" s="191"/>
    </row>
    <row r="46" spans="1:14" ht="15" x14ac:dyDescent="0.25">
      <c r="A46" s="186"/>
      <c r="B46" s="181" t="s">
        <v>39</v>
      </c>
      <c r="C46" s="164" t="s">
        <v>67</v>
      </c>
      <c r="D46" s="94" t="s">
        <v>63</v>
      </c>
      <c r="E46" s="39">
        <v>4</v>
      </c>
      <c r="F46" s="36">
        <v>3</v>
      </c>
      <c r="G46" s="13"/>
      <c r="H46" s="11"/>
      <c r="I46" s="203"/>
      <c r="J46" s="59"/>
      <c r="K46" s="60"/>
      <c r="L46" s="59"/>
      <c r="M46" s="191"/>
      <c r="N46" s="191"/>
    </row>
    <row r="47" spans="1:14" ht="15" x14ac:dyDescent="0.25">
      <c r="A47" s="186"/>
      <c r="B47" s="182"/>
      <c r="C47" s="162" t="s">
        <v>68</v>
      </c>
      <c r="D47" s="92" t="s">
        <v>63</v>
      </c>
      <c r="E47" s="39">
        <v>4</v>
      </c>
      <c r="F47" s="36">
        <v>3</v>
      </c>
      <c r="G47" s="37"/>
      <c r="H47" s="39"/>
      <c r="I47" s="203"/>
      <c r="J47" s="59"/>
      <c r="K47" s="60"/>
      <c r="L47" s="59"/>
      <c r="M47" s="191"/>
      <c r="N47" s="191"/>
    </row>
    <row r="48" spans="1:14" ht="15" x14ac:dyDescent="0.25">
      <c r="A48" s="186"/>
      <c r="B48" s="182"/>
      <c r="C48" s="162" t="s">
        <v>69</v>
      </c>
      <c r="D48" s="92" t="s">
        <v>63</v>
      </c>
      <c r="E48" s="39">
        <v>4</v>
      </c>
      <c r="F48" s="36">
        <v>3</v>
      </c>
      <c r="G48" s="37"/>
      <c r="H48" s="39"/>
      <c r="I48" s="203"/>
      <c r="J48" s="59"/>
      <c r="K48" s="60"/>
      <c r="L48" s="59"/>
      <c r="M48" s="191"/>
      <c r="N48" s="191"/>
    </row>
    <row r="49" spans="1:14" ht="15.6" thickBot="1" x14ac:dyDescent="0.3">
      <c r="A49" s="186"/>
      <c r="B49" s="182"/>
      <c r="C49" s="165" t="s">
        <v>70</v>
      </c>
      <c r="D49" s="95" t="s">
        <v>63</v>
      </c>
      <c r="E49" s="26">
        <v>4</v>
      </c>
      <c r="F49" s="27">
        <v>3</v>
      </c>
      <c r="G49" s="28"/>
      <c r="H49" s="26"/>
      <c r="I49" s="204"/>
      <c r="J49" s="63"/>
      <c r="K49" s="60"/>
      <c r="L49" s="59"/>
      <c r="M49" s="191"/>
      <c r="N49" s="191"/>
    </row>
    <row r="50" spans="1:14" ht="15.75" customHeight="1" x14ac:dyDescent="0.25">
      <c r="A50" s="186"/>
      <c r="B50" s="179" t="s">
        <v>71</v>
      </c>
      <c r="C50" s="166" t="s">
        <v>72</v>
      </c>
      <c r="D50" s="96" t="s">
        <v>73</v>
      </c>
      <c r="E50" s="91">
        <v>4</v>
      </c>
      <c r="F50" s="11">
        <v>3</v>
      </c>
      <c r="G50" s="12"/>
      <c r="H50" s="11"/>
      <c r="I50" s="86"/>
      <c r="J50" s="195" t="s">
        <v>103</v>
      </c>
      <c r="K50" s="64"/>
      <c r="L50" s="65"/>
      <c r="M50" s="191"/>
      <c r="N50" s="191"/>
    </row>
    <row r="51" spans="1:14" ht="15" x14ac:dyDescent="0.25">
      <c r="A51" s="186"/>
      <c r="B51" s="182"/>
      <c r="C51" s="158" t="s">
        <v>74</v>
      </c>
      <c r="D51" s="92" t="s">
        <v>75</v>
      </c>
      <c r="E51" s="55">
        <v>4</v>
      </c>
      <c r="F51" s="17">
        <v>3</v>
      </c>
      <c r="G51" s="18"/>
      <c r="H51" s="17"/>
      <c r="I51" s="87"/>
      <c r="J51" s="199"/>
      <c r="K51" s="64"/>
      <c r="L51" s="65"/>
      <c r="M51" s="191"/>
      <c r="N51" s="191"/>
    </row>
    <row r="52" spans="1:14" ht="15" x14ac:dyDescent="0.25">
      <c r="A52" s="186"/>
      <c r="B52" s="182"/>
      <c r="C52" s="158" t="s">
        <v>76</v>
      </c>
      <c r="D52" s="92" t="s">
        <v>75</v>
      </c>
      <c r="E52" s="55">
        <v>4</v>
      </c>
      <c r="F52" s="17">
        <v>3</v>
      </c>
      <c r="G52" s="18"/>
      <c r="H52" s="17"/>
      <c r="I52" s="87"/>
      <c r="J52" s="199"/>
      <c r="K52" s="64"/>
      <c r="L52" s="65"/>
      <c r="M52" s="191"/>
      <c r="N52" s="191"/>
    </row>
    <row r="53" spans="1:14" ht="15" x14ac:dyDescent="0.25">
      <c r="A53" s="186"/>
      <c r="B53" s="182"/>
      <c r="C53" s="158" t="s">
        <v>77</v>
      </c>
      <c r="D53" s="92" t="s">
        <v>75</v>
      </c>
      <c r="E53" s="55">
        <v>4</v>
      </c>
      <c r="F53" s="17">
        <v>3</v>
      </c>
      <c r="G53" s="18"/>
      <c r="H53" s="17"/>
      <c r="I53" s="87"/>
      <c r="J53" s="199"/>
      <c r="K53" s="64"/>
      <c r="L53" s="65"/>
      <c r="M53" s="191"/>
      <c r="N53" s="191"/>
    </row>
    <row r="54" spans="1:14" ht="15.6" thickBot="1" x14ac:dyDescent="0.3">
      <c r="A54" s="186"/>
      <c r="B54" s="182"/>
      <c r="C54" s="121" t="s">
        <v>78</v>
      </c>
      <c r="D54" s="95" t="s">
        <v>75</v>
      </c>
      <c r="E54" s="62">
        <v>4</v>
      </c>
      <c r="F54" s="27">
        <v>3</v>
      </c>
      <c r="G54" s="33"/>
      <c r="H54" s="32"/>
      <c r="I54" s="88"/>
      <c r="J54" s="199"/>
      <c r="K54" s="64"/>
      <c r="L54" s="65"/>
      <c r="M54" s="191"/>
      <c r="N54" s="191"/>
    </row>
    <row r="55" spans="1:14" ht="15" x14ac:dyDescent="0.25">
      <c r="A55" s="186"/>
      <c r="B55" s="179" t="s">
        <v>79</v>
      </c>
      <c r="C55" s="157" t="s">
        <v>80</v>
      </c>
      <c r="D55" s="96" t="s">
        <v>73</v>
      </c>
      <c r="E55" s="91">
        <v>4</v>
      </c>
      <c r="F55" s="11">
        <v>3</v>
      </c>
      <c r="G55" s="37"/>
      <c r="H55" s="36"/>
      <c r="I55" s="89"/>
      <c r="J55" s="199"/>
      <c r="K55" s="64"/>
      <c r="L55" s="65"/>
      <c r="M55" s="191"/>
      <c r="N55" s="191"/>
    </row>
    <row r="56" spans="1:14" ht="15" x14ac:dyDescent="0.25">
      <c r="A56" s="186"/>
      <c r="B56" s="182"/>
      <c r="C56" s="158" t="s">
        <v>81</v>
      </c>
      <c r="D56" s="92" t="s">
        <v>73</v>
      </c>
      <c r="E56" s="55">
        <v>4</v>
      </c>
      <c r="F56" s="17">
        <v>3</v>
      </c>
      <c r="G56" s="18"/>
      <c r="H56" s="17"/>
      <c r="I56" s="87"/>
      <c r="J56" s="199"/>
      <c r="K56" s="64"/>
      <c r="L56" s="65"/>
      <c r="M56" s="191"/>
      <c r="N56" s="191"/>
    </row>
    <row r="57" spans="1:14" ht="15" x14ac:dyDescent="0.25">
      <c r="A57" s="186"/>
      <c r="B57" s="182"/>
      <c r="C57" s="158" t="s">
        <v>82</v>
      </c>
      <c r="D57" s="92" t="s">
        <v>73</v>
      </c>
      <c r="E57" s="55">
        <v>4</v>
      </c>
      <c r="F57" s="17">
        <v>3</v>
      </c>
      <c r="G57" s="28"/>
      <c r="H57" s="27"/>
      <c r="I57" s="90"/>
      <c r="J57" s="199"/>
      <c r="K57" s="64"/>
      <c r="L57" s="65"/>
      <c r="M57" s="191"/>
      <c r="N57" s="191"/>
    </row>
    <row r="58" spans="1:14" ht="15.6" thickBot="1" x14ac:dyDescent="0.3">
      <c r="A58" s="186"/>
      <c r="B58" s="183"/>
      <c r="C58" s="122" t="s">
        <v>83</v>
      </c>
      <c r="D58" s="93" t="s">
        <v>73</v>
      </c>
      <c r="E58" s="61">
        <v>4</v>
      </c>
      <c r="F58" s="32">
        <v>3</v>
      </c>
      <c r="G58" s="33"/>
      <c r="H58" s="32"/>
      <c r="I58" s="90"/>
      <c r="J58" s="199"/>
      <c r="K58" s="64"/>
      <c r="L58" s="65"/>
      <c r="M58" s="191"/>
      <c r="N58" s="191"/>
    </row>
    <row r="59" spans="1:14" ht="15" x14ac:dyDescent="0.25">
      <c r="A59" s="186"/>
      <c r="B59" s="184" t="s">
        <v>146</v>
      </c>
      <c r="C59" s="157" t="s">
        <v>61</v>
      </c>
      <c r="D59" s="9" t="s">
        <v>73</v>
      </c>
      <c r="E59" s="10">
        <v>4</v>
      </c>
      <c r="F59" s="11">
        <v>3</v>
      </c>
      <c r="G59" s="111"/>
      <c r="H59" s="16"/>
      <c r="I59" s="147">
        <v>3</v>
      </c>
      <c r="J59" s="148" t="s">
        <v>56</v>
      </c>
      <c r="K59" s="123"/>
      <c r="L59" s="65"/>
      <c r="M59" s="191"/>
      <c r="N59" s="191"/>
    </row>
    <row r="60" spans="1:14" ht="15" x14ac:dyDescent="0.25">
      <c r="A60" s="186"/>
      <c r="B60" s="182"/>
      <c r="C60" s="120" t="s">
        <v>133</v>
      </c>
      <c r="D60" s="20" t="s">
        <v>10</v>
      </c>
      <c r="E60" s="22">
        <v>4</v>
      </c>
      <c r="F60" s="24">
        <v>3</v>
      </c>
      <c r="G60" s="114"/>
      <c r="H60" s="26"/>
      <c r="I60" s="205" t="s">
        <v>142</v>
      </c>
      <c r="J60" s="207" t="s">
        <v>129</v>
      </c>
      <c r="K60" s="124"/>
      <c r="L60" s="65"/>
      <c r="M60" s="191"/>
      <c r="N60" s="191"/>
    </row>
    <row r="61" spans="1:14" ht="15.6" thickBot="1" x14ac:dyDescent="0.3">
      <c r="A61" s="186"/>
      <c r="B61" s="183"/>
      <c r="C61" s="122" t="s">
        <v>132</v>
      </c>
      <c r="D61" s="30" t="s">
        <v>10</v>
      </c>
      <c r="E61" s="31">
        <v>4</v>
      </c>
      <c r="F61" s="32">
        <v>3</v>
      </c>
      <c r="G61" s="112"/>
      <c r="H61" s="31"/>
      <c r="I61" s="206"/>
      <c r="J61" s="208"/>
      <c r="K61" s="124"/>
      <c r="L61" s="65"/>
      <c r="M61" s="191"/>
      <c r="N61" s="191"/>
    </row>
    <row r="62" spans="1:14" ht="15" x14ac:dyDescent="0.25">
      <c r="A62" s="186"/>
      <c r="B62" s="179" t="s">
        <v>84</v>
      </c>
      <c r="C62" s="120" t="s">
        <v>85</v>
      </c>
      <c r="D62" s="97" t="s">
        <v>73</v>
      </c>
      <c r="E62" s="39">
        <v>4</v>
      </c>
      <c r="F62" s="36">
        <v>3</v>
      </c>
      <c r="G62" s="12"/>
      <c r="H62" s="10"/>
      <c r="I62" s="117"/>
      <c r="J62" s="65"/>
      <c r="K62" s="198" t="s">
        <v>129</v>
      </c>
      <c r="L62" s="56"/>
      <c r="M62" s="191"/>
      <c r="N62" s="191"/>
    </row>
    <row r="63" spans="1:14" ht="15" x14ac:dyDescent="0.25">
      <c r="A63" s="186"/>
      <c r="B63" s="182"/>
      <c r="C63" s="121" t="s">
        <v>86</v>
      </c>
      <c r="D63" s="95" t="s">
        <v>73</v>
      </c>
      <c r="E63" s="16">
        <v>4</v>
      </c>
      <c r="F63" s="17">
        <v>3</v>
      </c>
      <c r="G63" s="18"/>
      <c r="H63" s="16"/>
      <c r="I63" s="90"/>
      <c r="J63" s="59"/>
      <c r="K63" s="199"/>
      <c r="L63" s="59"/>
      <c r="M63" s="191"/>
      <c r="N63" s="191"/>
    </row>
    <row r="64" spans="1:14" ht="15.6" thickBot="1" x14ac:dyDescent="0.3">
      <c r="A64" s="186"/>
      <c r="B64" s="183"/>
      <c r="C64" s="122" t="s">
        <v>87</v>
      </c>
      <c r="D64" s="93" t="s">
        <v>73</v>
      </c>
      <c r="E64" s="31">
        <v>4</v>
      </c>
      <c r="F64" s="32">
        <v>3</v>
      </c>
      <c r="G64" s="33"/>
      <c r="H64" s="31"/>
      <c r="I64" s="88"/>
      <c r="J64" s="66"/>
      <c r="K64" s="196"/>
      <c r="L64" s="66"/>
      <c r="M64" s="192"/>
      <c r="N64" s="192"/>
    </row>
    <row r="65" spans="1:14" ht="15.75" customHeight="1" x14ac:dyDescent="0.25">
      <c r="A65" s="186"/>
      <c r="B65" s="179" t="s">
        <v>88</v>
      </c>
      <c r="C65" s="157" t="s">
        <v>89</v>
      </c>
      <c r="D65" s="107" t="s">
        <v>73</v>
      </c>
      <c r="E65" s="91">
        <v>4</v>
      </c>
      <c r="F65" s="10">
        <v>4</v>
      </c>
      <c r="G65" s="103"/>
      <c r="H65" s="11"/>
      <c r="I65" s="67"/>
      <c r="J65" s="68"/>
      <c r="K65" s="198" t="s">
        <v>124</v>
      </c>
      <c r="L65" s="98"/>
      <c r="M65" s="191">
        <v>16</v>
      </c>
      <c r="N65" s="184"/>
    </row>
    <row r="66" spans="1:14" ht="15.75" customHeight="1" thickBot="1" x14ac:dyDescent="0.3">
      <c r="A66" s="186"/>
      <c r="B66" s="180"/>
      <c r="C66" s="122" t="s">
        <v>90</v>
      </c>
      <c r="D66" s="108" t="s">
        <v>73</v>
      </c>
      <c r="E66" s="61">
        <v>4</v>
      </c>
      <c r="F66" s="31">
        <v>4</v>
      </c>
      <c r="G66" s="104"/>
      <c r="H66" s="32"/>
      <c r="I66" s="73"/>
      <c r="J66" s="74"/>
      <c r="K66" s="196"/>
      <c r="L66" s="102"/>
      <c r="M66" s="191"/>
      <c r="N66" s="185"/>
    </row>
    <row r="67" spans="1:14" ht="15" x14ac:dyDescent="0.25">
      <c r="A67" s="186"/>
      <c r="B67" s="186" t="s">
        <v>93</v>
      </c>
      <c r="C67" s="159" t="s">
        <v>94</v>
      </c>
      <c r="D67" s="38" t="s">
        <v>49</v>
      </c>
      <c r="E67" s="39">
        <v>4</v>
      </c>
      <c r="F67" s="36">
        <v>4</v>
      </c>
      <c r="G67" s="37"/>
      <c r="H67" s="39"/>
      <c r="I67" s="80"/>
      <c r="J67" s="81"/>
      <c r="K67" s="89"/>
      <c r="L67" s="195" t="s">
        <v>95</v>
      </c>
      <c r="M67" s="191"/>
      <c r="N67" s="185"/>
    </row>
    <row r="68" spans="1:14" ht="15.6" thickBot="1" x14ac:dyDescent="0.3">
      <c r="A68" s="186"/>
      <c r="B68" s="186"/>
      <c r="C68" s="120" t="s">
        <v>96</v>
      </c>
      <c r="D68" s="20" t="s">
        <v>97</v>
      </c>
      <c r="E68" s="22">
        <v>4</v>
      </c>
      <c r="F68" s="24">
        <v>4</v>
      </c>
      <c r="G68" s="21"/>
      <c r="H68" s="22"/>
      <c r="I68" s="71"/>
      <c r="J68" s="72"/>
      <c r="K68" s="90"/>
      <c r="L68" s="199"/>
      <c r="M68" s="191"/>
      <c r="N68" s="185"/>
    </row>
    <row r="69" spans="1:14" ht="15" x14ac:dyDescent="0.25">
      <c r="A69" s="186"/>
      <c r="B69" s="179" t="s">
        <v>88</v>
      </c>
      <c r="C69" s="157" t="s">
        <v>98</v>
      </c>
      <c r="D69" s="9" t="s">
        <v>52</v>
      </c>
      <c r="E69" s="10">
        <v>4</v>
      </c>
      <c r="F69" s="11">
        <v>4</v>
      </c>
      <c r="G69" s="12"/>
      <c r="H69" s="10"/>
      <c r="I69" s="67"/>
      <c r="J69" s="68"/>
      <c r="K69" s="86"/>
      <c r="L69" s="199"/>
      <c r="M69" s="191"/>
      <c r="N69" s="185"/>
    </row>
    <row r="70" spans="1:14" ht="15.6" thickBot="1" x14ac:dyDescent="0.3">
      <c r="A70" s="186"/>
      <c r="B70" s="180"/>
      <c r="C70" s="122" t="s">
        <v>99</v>
      </c>
      <c r="D70" s="30" t="s">
        <v>52</v>
      </c>
      <c r="E70" s="31">
        <v>4</v>
      </c>
      <c r="F70" s="32">
        <v>4</v>
      </c>
      <c r="G70" s="33"/>
      <c r="H70" s="31"/>
      <c r="I70" s="73"/>
      <c r="J70" s="74"/>
      <c r="K70" s="109"/>
      <c r="L70" s="199"/>
      <c r="M70" s="191"/>
      <c r="N70" s="185"/>
    </row>
    <row r="71" spans="1:14" ht="15" x14ac:dyDescent="0.25">
      <c r="A71" s="186"/>
      <c r="B71" s="179" t="s">
        <v>91</v>
      </c>
      <c r="C71" s="159" t="s">
        <v>100</v>
      </c>
      <c r="D71" s="38" t="s">
        <v>73</v>
      </c>
      <c r="E71" s="39">
        <v>4</v>
      </c>
      <c r="F71" s="36">
        <v>4</v>
      </c>
      <c r="G71" s="13"/>
      <c r="H71" s="11"/>
      <c r="I71" s="75"/>
      <c r="J71" s="76"/>
      <c r="K71" s="110"/>
      <c r="L71" s="199"/>
      <c r="M71" s="191"/>
      <c r="N71" s="185"/>
    </row>
    <row r="72" spans="1:14" ht="15.6" thickBot="1" x14ac:dyDescent="0.3">
      <c r="A72" s="186"/>
      <c r="B72" s="180"/>
      <c r="C72" s="167" t="s">
        <v>101</v>
      </c>
      <c r="D72" s="77" t="s">
        <v>52</v>
      </c>
      <c r="E72" s="78">
        <v>4</v>
      </c>
      <c r="F72" s="79">
        <v>4</v>
      </c>
      <c r="G72" s="34"/>
      <c r="H72" s="32"/>
      <c r="I72" s="73"/>
      <c r="J72" s="74"/>
      <c r="K72" s="109"/>
      <c r="L72" s="196"/>
      <c r="M72" s="192"/>
      <c r="N72" s="197"/>
    </row>
    <row r="73" spans="1:14" ht="15.75" customHeight="1" x14ac:dyDescent="0.25">
      <c r="A73" s="186"/>
      <c r="B73" s="179" t="s">
        <v>71</v>
      </c>
      <c r="C73" s="159" t="s">
        <v>102</v>
      </c>
      <c r="D73" s="38" t="s">
        <v>49</v>
      </c>
      <c r="E73" s="39">
        <v>4</v>
      </c>
      <c r="F73" s="36">
        <v>3</v>
      </c>
      <c r="G73" s="37"/>
      <c r="H73" s="39"/>
      <c r="I73" s="80"/>
      <c r="J73" s="81"/>
      <c r="K73" s="198" t="s">
        <v>103</v>
      </c>
      <c r="L73" s="98"/>
      <c r="M73" s="190">
        <v>9</v>
      </c>
      <c r="N73" s="184"/>
    </row>
    <row r="74" spans="1:14" ht="15.75" customHeight="1" x14ac:dyDescent="0.25">
      <c r="A74" s="186"/>
      <c r="B74" s="186"/>
      <c r="C74" s="159" t="s">
        <v>104</v>
      </c>
      <c r="D74" s="38" t="s">
        <v>49</v>
      </c>
      <c r="E74" s="39">
        <v>4</v>
      </c>
      <c r="F74" s="36">
        <v>3</v>
      </c>
      <c r="G74" s="37"/>
      <c r="H74" s="39"/>
      <c r="I74" s="80"/>
      <c r="J74" s="81"/>
      <c r="K74" s="200"/>
      <c r="L74" s="99"/>
      <c r="M74" s="191"/>
      <c r="N74" s="185"/>
    </row>
    <row r="75" spans="1:14" ht="15" x14ac:dyDescent="0.25">
      <c r="A75" s="186"/>
      <c r="B75" s="186"/>
      <c r="C75" s="121" t="s">
        <v>105</v>
      </c>
      <c r="D75" s="25" t="s">
        <v>49</v>
      </c>
      <c r="E75" s="26">
        <v>4</v>
      </c>
      <c r="F75" s="27">
        <v>3</v>
      </c>
      <c r="G75" s="28"/>
      <c r="H75" s="26"/>
      <c r="I75" s="71"/>
      <c r="J75" s="72"/>
      <c r="K75" s="200"/>
      <c r="L75" s="100"/>
      <c r="M75" s="191"/>
      <c r="N75" s="185"/>
    </row>
    <row r="76" spans="1:14" ht="15.6" thickBot="1" x14ac:dyDescent="0.3">
      <c r="A76" s="186"/>
      <c r="B76" s="186"/>
      <c r="C76" s="121" t="s">
        <v>113</v>
      </c>
      <c r="D76" s="82" t="s">
        <v>52</v>
      </c>
      <c r="E76" s="83">
        <v>4</v>
      </c>
      <c r="F76" s="50">
        <v>3</v>
      </c>
      <c r="G76" s="28"/>
      <c r="H76" s="26"/>
      <c r="I76" s="71"/>
      <c r="J76" s="72"/>
      <c r="K76" s="200"/>
      <c r="L76" s="100"/>
      <c r="M76" s="191"/>
      <c r="N76" s="185"/>
    </row>
    <row r="77" spans="1:14" ht="15" x14ac:dyDescent="0.25">
      <c r="A77" s="186"/>
      <c r="B77" s="179" t="s">
        <v>79</v>
      </c>
      <c r="C77" s="157" t="s">
        <v>106</v>
      </c>
      <c r="D77" s="9" t="s">
        <v>49</v>
      </c>
      <c r="E77" s="10">
        <v>4</v>
      </c>
      <c r="F77" s="11">
        <v>3</v>
      </c>
      <c r="G77" s="12"/>
      <c r="H77" s="10"/>
      <c r="I77" s="67"/>
      <c r="J77" s="68"/>
      <c r="K77" s="200"/>
      <c r="L77" s="100"/>
      <c r="M77" s="191"/>
      <c r="N77" s="185"/>
    </row>
    <row r="78" spans="1:14" ht="15" x14ac:dyDescent="0.25">
      <c r="A78" s="186"/>
      <c r="B78" s="186"/>
      <c r="C78" s="158" t="s">
        <v>107</v>
      </c>
      <c r="D78" s="15" t="s">
        <v>49</v>
      </c>
      <c r="E78" s="16">
        <v>4</v>
      </c>
      <c r="F78" s="17">
        <v>3</v>
      </c>
      <c r="G78" s="18"/>
      <c r="H78" s="16"/>
      <c r="I78" s="69"/>
      <c r="J78" s="70"/>
      <c r="K78" s="200"/>
      <c r="L78" s="100"/>
      <c r="M78" s="191"/>
      <c r="N78" s="185"/>
    </row>
    <row r="79" spans="1:14" ht="15" x14ac:dyDescent="0.25">
      <c r="A79" s="186"/>
      <c r="B79" s="186"/>
      <c r="C79" s="158" t="s">
        <v>108</v>
      </c>
      <c r="D79" s="15" t="s">
        <v>49</v>
      </c>
      <c r="E79" s="16">
        <v>4</v>
      </c>
      <c r="F79" s="17">
        <v>3</v>
      </c>
      <c r="G79" s="18"/>
      <c r="H79" s="16"/>
      <c r="I79" s="69"/>
      <c r="J79" s="70"/>
      <c r="K79" s="200"/>
      <c r="L79" s="100"/>
      <c r="M79" s="191"/>
      <c r="N79" s="185"/>
    </row>
    <row r="80" spans="1:14" ht="15" x14ac:dyDescent="0.25">
      <c r="A80" s="186"/>
      <c r="B80" s="186"/>
      <c r="C80" s="121" t="s">
        <v>109</v>
      </c>
      <c r="D80" s="25" t="s">
        <v>49</v>
      </c>
      <c r="E80" s="26">
        <v>4</v>
      </c>
      <c r="F80" s="27">
        <v>3</v>
      </c>
      <c r="G80" s="28"/>
      <c r="H80" s="26"/>
      <c r="I80" s="71"/>
      <c r="J80" s="72"/>
      <c r="K80" s="200"/>
      <c r="L80" s="101"/>
      <c r="M80" s="191"/>
      <c r="N80" s="185"/>
    </row>
    <row r="81" spans="1:14" ht="15.6" thickBot="1" x14ac:dyDescent="0.3">
      <c r="A81" s="186"/>
      <c r="B81" s="180"/>
      <c r="C81" s="122" t="s">
        <v>110</v>
      </c>
      <c r="D81" s="30" t="s">
        <v>52</v>
      </c>
      <c r="E81" s="31">
        <v>4</v>
      </c>
      <c r="F81" s="32">
        <v>3</v>
      </c>
      <c r="G81" s="33"/>
      <c r="H81" s="31"/>
      <c r="I81" s="73"/>
      <c r="J81" s="74"/>
      <c r="K81" s="200"/>
      <c r="L81" s="102"/>
      <c r="M81" s="191"/>
      <c r="N81" s="185"/>
    </row>
    <row r="82" spans="1:14" ht="15" customHeight="1" x14ac:dyDescent="0.25">
      <c r="A82" s="186"/>
      <c r="B82" s="190" t="s">
        <v>144</v>
      </c>
      <c r="C82" s="157" t="s">
        <v>130</v>
      </c>
      <c r="D82" s="9" t="s">
        <v>73</v>
      </c>
      <c r="E82" s="10">
        <v>4</v>
      </c>
      <c r="F82" s="11">
        <v>3</v>
      </c>
      <c r="G82" s="116"/>
      <c r="H82" s="10"/>
      <c r="I82" s="67"/>
      <c r="J82" s="68"/>
      <c r="K82" s="200"/>
      <c r="L82" s="98"/>
      <c r="M82" s="191"/>
      <c r="N82" s="185"/>
    </row>
    <row r="83" spans="1:14" ht="15" x14ac:dyDescent="0.25">
      <c r="A83" s="186"/>
      <c r="B83" s="191"/>
      <c r="C83" s="158" t="s">
        <v>111</v>
      </c>
      <c r="D83" s="15" t="s">
        <v>73</v>
      </c>
      <c r="E83" s="16">
        <v>4</v>
      </c>
      <c r="F83" s="17">
        <v>3</v>
      </c>
      <c r="G83" s="113"/>
      <c r="H83" s="16"/>
      <c r="I83" s="69"/>
      <c r="J83" s="70"/>
      <c r="K83" s="200"/>
      <c r="L83" s="100"/>
      <c r="M83" s="191"/>
      <c r="N83" s="185"/>
    </row>
    <row r="84" spans="1:14" ht="15.6" thickBot="1" x14ac:dyDescent="0.3">
      <c r="A84" s="186"/>
      <c r="B84" s="191"/>
      <c r="C84" s="121" t="s">
        <v>126</v>
      </c>
      <c r="D84" s="25" t="s">
        <v>49</v>
      </c>
      <c r="E84" s="26">
        <v>3</v>
      </c>
      <c r="F84" s="27">
        <v>3</v>
      </c>
      <c r="G84" s="115"/>
      <c r="H84" s="31"/>
      <c r="I84" s="73"/>
      <c r="J84" s="74"/>
      <c r="K84" s="201"/>
      <c r="L84" s="100"/>
      <c r="M84" s="191"/>
      <c r="N84" s="185"/>
    </row>
    <row r="85" spans="1:14" ht="15" customHeight="1" x14ac:dyDescent="0.25">
      <c r="A85" s="186"/>
      <c r="B85" s="179" t="s">
        <v>71</v>
      </c>
      <c r="C85" s="166" t="s">
        <v>112</v>
      </c>
      <c r="D85" s="51" t="s">
        <v>52</v>
      </c>
      <c r="E85" s="52">
        <v>4</v>
      </c>
      <c r="F85" s="11">
        <v>4</v>
      </c>
      <c r="G85" s="21"/>
      <c r="H85" s="22"/>
      <c r="I85" s="75"/>
      <c r="J85" s="76"/>
      <c r="K85" s="89"/>
      <c r="L85" s="198" t="s">
        <v>95</v>
      </c>
      <c r="M85" s="190">
        <v>12</v>
      </c>
      <c r="N85" s="184"/>
    </row>
    <row r="86" spans="1:14" ht="15.6" thickBot="1" x14ac:dyDescent="0.3">
      <c r="A86" s="186"/>
      <c r="B86" s="180"/>
      <c r="C86" s="122" t="s">
        <v>114</v>
      </c>
      <c r="D86" s="30" t="s">
        <v>52</v>
      </c>
      <c r="E86" s="31">
        <v>4</v>
      </c>
      <c r="F86" s="32">
        <v>4</v>
      </c>
      <c r="G86" s="28"/>
      <c r="H86" s="26"/>
      <c r="I86" s="71"/>
      <c r="J86" s="72"/>
      <c r="K86" s="90"/>
      <c r="L86" s="199"/>
      <c r="M86" s="191"/>
      <c r="N86" s="185"/>
    </row>
    <row r="87" spans="1:14" ht="15" x14ac:dyDescent="0.25">
      <c r="A87" s="186"/>
      <c r="B87" s="179" t="s">
        <v>79</v>
      </c>
      <c r="C87" s="166" t="s">
        <v>115</v>
      </c>
      <c r="D87" s="51" t="s">
        <v>52</v>
      </c>
      <c r="E87" s="52">
        <v>4</v>
      </c>
      <c r="F87" s="11">
        <v>4</v>
      </c>
      <c r="G87" s="84"/>
      <c r="H87" s="52"/>
      <c r="I87" s="67"/>
      <c r="J87" s="68"/>
      <c r="K87" s="86"/>
      <c r="L87" s="199"/>
      <c r="M87" s="191"/>
      <c r="N87" s="185"/>
    </row>
    <row r="88" spans="1:14" ht="15.75" customHeight="1" thickBot="1" x14ac:dyDescent="0.3">
      <c r="A88" s="186"/>
      <c r="B88" s="180"/>
      <c r="C88" s="122" t="s">
        <v>116</v>
      </c>
      <c r="D88" s="30" t="s">
        <v>52</v>
      </c>
      <c r="E88" s="31">
        <v>4</v>
      </c>
      <c r="F88" s="32">
        <v>4</v>
      </c>
      <c r="G88" s="18"/>
      <c r="H88" s="16"/>
      <c r="I88" s="69"/>
      <c r="J88" s="70"/>
      <c r="K88" s="88"/>
      <c r="L88" s="199"/>
      <c r="M88" s="191"/>
      <c r="N88" s="185"/>
    </row>
    <row r="89" spans="1:14" ht="15.75" customHeight="1" x14ac:dyDescent="0.25">
      <c r="A89" s="186"/>
      <c r="B89" s="190" t="s">
        <v>145</v>
      </c>
      <c r="C89" s="157" t="s">
        <v>117</v>
      </c>
      <c r="D89" s="9" t="s">
        <v>97</v>
      </c>
      <c r="E89" s="10">
        <v>4</v>
      </c>
      <c r="F89" s="11">
        <v>4</v>
      </c>
      <c r="G89" s="12"/>
      <c r="H89" s="10"/>
      <c r="I89" s="67"/>
      <c r="J89" s="68"/>
      <c r="K89" s="89"/>
      <c r="L89" s="199"/>
      <c r="M89" s="191"/>
      <c r="N89" s="185"/>
    </row>
    <row r="90" spans="1:14" ht="15" x14ac:dyDescent="0.25">
      <c r="A90" s="186"/>
      <c r="B90" s="191"/>
      <c r="C90" s="162" t="s">
        <v>118</v>
      </c>
      <c r="D90" s="15" t="s">
        <v>52</v>
      </c>
      <c r="E90" s="16">
        <v>4</v>
      </c>
      <c r="F90" s="17">
        <v>4</v>
      </c>
      <c r="G90" s="18"/>
      <c r="H90" s="16"/>
      <c r="I90" s="69"/>
      <c r="J90" s="70"/>
      <c r="K90" s="87"/>
      <c r="L90" s="199"/>
      <c r="M90" s="191"/>
      <c r="N90" s="185"/>
    </row>
    <row r="91" spans="1:14" ht="15.6" thickBot="1" x14ac:dyDescent="0.3">
      <c r="A91" s="186"/>
      <c r="B91" s="192"/>
      <c r="C91" s="163" t="s">
        <v>125</v>
      </c>
      <c r="D91" s="30" t="s">
        <v>52</v>
      </c>
      <c r="E91" s="31">
        <v>3</v>
      </c>
      <c r="F91" s="32">
        <v>4</v>
      </c>
      <c r="G91" s="33"/>
      <c r="H91" s="31"/>
      <c r="I91" s="73"/>
      <c r="J91" s="74"/>
      <c r="K91" s="88"/>
      <c r="L91" s="196"/>
      <c r="M91" s="192"/>
      <c r="N91" s="197"/>
    </row>
    <row r="92" spans="1:14" ht="16.5" customHeight="1" x14ac:dyDescent="0.25">
      <c r="A92" s="186"/>
      <c r="B92" s="181" t="s">
        <v>119</v>
      </c>
      <c r="C92" s="165" t="s">
        <v>121</v>
      </c>
      <c r="D92" s="25" t="s">
        <v>49</v>
      </c>
      <c r="E92" s="26">
        <v>3</v>
      </c>
      <c r="F92" s="27">
        <v>3</v>
      </c>
      <c r="G92" s="13"/>
      <c r="H92" s="10"/>
      <c r="I92" s="13"/>
      <c r="J92" s="11"/>
      <c r="K92" s="195" t="s">
        <v>134</v>
      </c>
      <c r="L92" s="27"/>
      <c r="M92" s="190">
        <v>6</v>
      </c>
      <c r="N92" s="181"/>
    </row>
    <row r="93" spans="1:14" ht="15.6" customHeight="1" thickBot="1" x14ac:dyDescent="0.3">
      <c r="A93" s="186"/>
      <c r="B93" s="182"/>
      <c r="C93" s="165" t="s">
        <v>122</v>
      </c>
      <c r="D93" s="25" t="s">
        <v>49</v>
      </c>
      <c r="E93" s="26">
        <v>3</v>
      </c>
      <c r="F93" s="27">
        <v>3</v>
      </c>
      <c r="G93" s="19"/>
      <c r="H93" s="16"/>
      <c r="I93" s="19"/>
      <c r="J93" s="17"/>
      <c r="K93" s="196"/>
      <c r="L93" s="32"/>
      <c r="M93" s="191"/>
      <c r="N93" s="182"/>
    </row>
    <row r="94" spans="1:14" ht="15" x14ac:dyDescent="0.25">
      <c r="A94" s="186"/>
      <c r="B94" s="182"/>
      <c r="C94" s="168" t="s">
        <v>120</v>
      </c>
      <c r="D94" s="51" t="s">
        <v>10</v>
      </c>
      <c r="E94" s="52">
        <v>3</v>
      </c>
      <c r="F94" s="53">
        <v>3</v>
      </c>
      <c r="G94" s="28"/>
      <c r="H94" s="26"/>
      <c r="I94" s="106"/>
      <c r="J94" s="27"/>
      <c r="K94" s="27"/>
      <c r="L94" s="195" t="s">
        <v>129</v>
      </c>
      <c r="M94" s="191"/>
      <c r="N94" s="182"/>
    </row>
    <row r="95" spans="1:14" ht="15.6" thickBot="1" x14ac:dyDescent="0.3">
      <c r="A95" s="180"/>
      <c r="B95" s="183"/>
      <c r="C95" s="163" t="s">
        <v>123</v>
      </c>
      <c r="D95" s="30" t="s">
        <v>97</v>
      </c>
      <c r="E95" s="31">
        <v>3</v>
      </c>
      <c r="F95" s="32">
        <v>3</v>
      </c>
      <c r="G95" s="33"/>
      <c r="H95" s="31"/>
      <c r="I95" s="34"/>
      <c r="J95" s="32"/>
      <c r="K95" s="32"/>
      <c r="L95" s="196"/>
      <c r="M95" s="192"/>
      <c r="N95" s="183"/>
    </row>
    <row r="96" spans="1:14" ht="18" thickBot="1" x14ac:dyDescent="0.3">
      <c r="A96" s="170" t="s">
        <v>138</v>
      </c>
      <c r="B96" s="171"/>
      <c r="C96" s="171"/>
      <c r="D96" s="171"/>
      <c r="E96" s="171"/>
      <c r="F96" s="172"/>
      <c r="G96" s="149">
        <v>29</v>
      </c>
      <c r="H96" s="150">
        <v>29</v>
      </c>
      <c r="I96" s="150">
        <v>29</v>
      </c>
      <c r="J96" s="150">
        <v>29</v>
      </c>
      <c r="K96" s="150">
        <v>29</v>
      </c>
      <c r="L96" s="151">
        <v>29</v>
      </c>
      <c r="M96" s="169">
        <f t="shared" ref="M96" si="1">SUM(G96:L96)</f>
        <v>174</v>
      </c>
      <c r="N96" s="136"/>
    </row>
    <row r="97" spans="1:14" ht="18" thickBot="1" x14ac:dyDescent="0.3">
      <c r="A97" s="173" t="s">
        <v>139</v>
      </c>
      <c r="B97" s="174"/>
      <c r="C97" s="174"/>
      <c r="D97" s="174"/>
      <c r="E97" s="174"/>
      <c r="F97" s="175"/>
      <c r="G97" s="149">
        <v>3</v>
      </c>
      <c r="H97" s="150">
        <v>3</v>
      </c>
      <c r="I97" s="150">
        <v>3</v>
      </c>
      <c r="J97" s="150">
        <v>3</v>
      </c>
      <c r="K97" s="150">
        <v>3</v>
      </c>
      <c r="L97" s="151">
        <v>3</v>
      </c>
      <c r="M97" s="169">
        <v>18</v>
      </c>
      <c r="N97" s="137"/>
    </row>
    <row r="98" spans="1:14" ht="18" thickBot="1" x14ac:dyDescent="0.3">
      <c r="A98" s="173" t="s">
        <v>140</v>
      </c>
      <c r="B98" s="174"/>
      <c r="C98" s="174"/>
      <c r="D98" s="174"/>
      <c r="E98" s="174"/>
      <c r="F98" s="175"/>
      <c r="G98" s="149">
        <v>32</v>
      </c>
      <c r="H98" s="150">
        <v>32</v>
      </c>
      <c r="I98" s="150">
        <v>32</v>
      </c>
      <c r="J98" s="150">
        <v>32</v>
      </c>
      <c r="K98" s="150">
        <v>32</v>
      </c>
      <c r="L98" s="151">
        <v>32</v>
      </c>
      <c r="M98" s="169">
        <v>192</v>
      </c>
      <c r="N98" s="137"/>
    </row>
    <row r="99" spans="1:14" ht="18" thickBot="1" x14ac:dyDescent="0.3">
      <c r="A99" s="176" t="s">
        <v>141</v>
      </c>
      <c r="B99" s="177"/>
      <c r="C99" s="177"/>
      <c r="D99" s="177"/>
      <c r="E99" s="177"/>
      <c r="F99" s="178"/>
      <c r="G99" s="152">
        <v>10</v>
      </c>
      <c r="H99" s="153">
        <v>10</v>
      </c>
      <c r="I99" s="153">
        <v>10</v>
      </c>
      <c r="J99" s="153">
        <v>10</v>
      </c>
      <c r="K99" s="153">
        <v>9</v>
      </c>
      <c r="L99" s="154">
        <v>8</v>
      </c>
      <c r="M99" s="169">
        <f>SUM(G99:L99)</f>
        <v>57</v>
      </c>
      <c r="N99" s="138"/>
    </row>
    <row r="100" spans="1:14" x14ac:dyDescent="0.25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</row>
  </sheetData>
  <mergeCells count="81">
    <mergeCell ref="M38:M40"/>
    <mergeCell ref="N38:N40"/>
    <mergeCell ref="B15:B19"/>
    <mergeCell ref="N34:N37"/>
    <mergeCell ref="B34:B37"/>
    <mergeCell ref="M34:M37"/>
    <mergeCell ref="M15:M19"/>
    <mergeCell ref="B24:B27"/>
    <mergeCell ref="M24:M27"/>
    <mergeCell ref="N24:N27"/>
    <mergeCell ref="B28:B33"/>
    <mergeCell ref="M28:M33"/>
    <mergeCell ref="N28:N33"/>
    <mergeCell ref="M20:M23"/>
    <mergeCell ref="N20:N23"/>
    <mergeCell ref="N15:N19"/>
    <mergeCell ref="A1:M1"/>
    <mergeCell ref="A2:A4"/>
    <mergeCell ref="B2:B4"/>
    <mergeCell ref="C2:C4"/>
    <mergeCell ref="D2:D4"/>
    <mergeCell ref="E2:E4"/>
    <mergeCell ref="F2:F4"/>
    <mergeCell ref="M2:M4"/>
    <mergeCell ref="G2:H3"/>
    <mergeCell ref="I2:J3"/>
    <mergeCell ref="K2:L3"/>
    <mergeCell ref="N2:N4"/>
    <mergeCell ref="M10:M14"/>
    <mergeCell ref="N10:N14"/>
    <mergeCell ref="M5:M9"/>
    <mergeCell ref="N5:N9"/>
    <mergeCell ref="N42:N64"/>
    <mergeCell ref="B46:B49"/>
    <mergeCell ref="B50:B54"/>
    <mergeCell ref="J50:J58"/>
    <mergeCell ref="K62:K64"/>
    <mergeCell ref="I42:I49"/>
    <mergeCell ref="M42:M64"/>
    <mergeCell ref="I60:I61"/>
    <mergeCell ref="J60:J61"/>
    <mergeCell ref="B59:B61"/>
    <mergeCell ref="N65:N72"/>
    <mergeCell ref="B67:B68"/>
    <mergeCell ref="L67:L72"/>
    <mergeCell ref="B69:B70"/>
    <mergeCell ref="B71:B72"/>
    <mergeCell ref="B65:B66"/>
    <mergeCell ref="K65:K66"/>
    <mergeCell ref="N92:N95"/>
    <mergeCell ref="M92:M95"/>
    <mergeCell ref="K92:K93"/>
    <mergeCell ref="L94:L95"/>
    <mergeCell ref="A42:A95"/>
    <mergeCell ref="M85:M91"/>
    <mergeCell ref="N85:N91"/>
    <mergeCell ref="B87:B88"/>
    <mergeCell ref="B89:B91"/>
    <mergeCell ref="L85:L91"/>
    <mergeCell ref="M73:M84"/>
    <mergeCell ref="N73:N84"/>
    <mergeCell ref="B77:B81"/>
    <mergeCell ref="B82:B84"/>
    <mergeCell ref="K73:K84"/>
    <mergeCell ref="M65:M72"/>
    <mergeCell ref="A5:A40"/>
    <mergeCell ref="B73:B76"/>
    <mergeCell ref="B41:F41"/>
    <mergeCell ref="B42:B45"/>
    <mergeCell ref="B55:B58"/>
    <mergeCell ref="B62:B64"/>
    <mergeCell ref="B5:B9"/>
    <mergeCell ref="B38:B40"/>
    <mergeCell ref="B10:B14"/>
    <mergeCell ref="B20:B23"/>
    <mergeCell ref="A96:F96"/>
    <mergeCell ref="A97:F97"/>
    <mergeCell ref="A98:F98"/>
    <mergeCell ref="A99:F99"/>
    <mergeCell ref="B85:B86"/>
    <mergeCell ref="B92:B95"/>
  </mergeCells>
  <phoneticPr fontId="3" type="noConversion"/>
  <pageMargins left="0.25" right="0.25" top="0.75" bottom="0.75" header="0.3" footer="0.3"/>
  <pageSetup paperSize="8" scale="73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2025-10-22T01:04:17Z</cp:lastPrinted>
  <dcterms:created xsi:type="dcterms:W3CDTF">2025-02-25T01:06:24Z</dcterms:created>
  <dcterms:modified xsi:type="dcterms:W3CDTF">2025-10-22T01:10:11Z</dcterms:modified>
</cp:coreProperties>
</file>