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343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N:\개인\2025 교육과정부\2026 교원조직\교육과정편성표\"/>
    </mc:Choice>
  </mc:AlternateContent>
  <x:bookViews>
    <x:workbookView xWindow="0" yWindow="0" windowWidth="22788" windowHeight="8232" tabRatio="500"/>
  </x:bookViews>
  <x:sheets>
    <x:sheet name="양식(일반고,자율고,특목고)" sheetId="1" r:id="rId4"/>
  </x:sheets>
  <x:definedNames>
    <x:definedName name="_xlnm.Print_Area" localSheetId="0">'양식(일반고,자율고,특목고)'!$A$1:$N$92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<x:sst xmlns:r="http://schemas.openxmlformats.org/officeDocument/2006/relationships" xmlns:c="http://schemas.openxmlformats.org/drawingml/2006/chart" xmlns:x="http://schemas.openxmlformats.org/spreadsheetml/2006/main" count="233" uniqueCount="125">
  <x:si>
    <x:t>보건</x:t>
  </x:si>
  <x:si>
    <x:t>교양</x:t>
  </x:si>
  <x:si>
    <x:t>구분</x:t>
  </x:si>
  <x:si>
    <x:t>공통</x:t>
  </x:si>
  <x:si>
    <x:t>3학년</x:t>
  </x:si>
  <x:si>
    <x:t>과학</x:t>
  </x:si>
  <x:si>
    <x:t>사회</x:t>
  </x:si>
  <x:si>
    <x:t>1학년</x:t>
  </x:si>
  <x:si>
    <x:t>수학</x:t>
  </x:si>
  <x:si>
    <x:t>문학</x:t>
  </x:si>
  <x:si>
    <x:t>일반</x:t>
  </x:si>
  <x:si>
    <x:t>영어</x:t>
  </x:si>
  <x:si>
    <x:t>1학기</x:t>
  </x:si>
  <x:si>
    <x:t>2학년</x:t>
  </x:si>
  <x:si>
    <x:t>2학기</x:t>
  </x:si>
  <x:si>
    <x:t>국어</x:t>
  </x:si>
  <x:si>
    <x:t>예술</x:t>
  </x:si>
  <x:si>
    <x:t>영어Ⅱ</x:t>
  </x:si>
  <x:si>
    <x:t>영어Ⅰ</x:t>
  </x:si>
  <x:si>
    <x:t>미술</x:t>
  </x:si>
  <x:si>
    <x:t>진로</x:t>
  </x:si>
  <x:si>
    <x:t>음악</x:t>
  </x:si>
  <x:si>
    <x:t>세계사</x:t>
  </x:si>
  <x:si>
    <x:t>정보</x:t>
  </x:si>
  <x:si>
    <x:t>경제</x:t>
  </x:si>
  <x:si>
    <x:t>화학</x:t>
  </x:si>
  <x:si>
    <x:t>논술</x:t>
  </x:si>
  <x:si>
    <x:t>물리학</x:t>
  </x:si>
  <x:si>
    <x:t>교과(군)</x:t>
  </x:si>
  <x:si>
    <x:t>과목유형</x:t>
  </x:si>
  <x:si>
    <x:t>이수
학점</x:t>
  </x:si>
  <x:si>
    <x:t>학교지정</x:t>
  </x:si>
  <x:si>
    <x:t>학생선택</x:t>
  </x:si>
  <x:si>
    <x:t>기하</x:t>
  </x:si>
  <x:si>
    <x:t>편성
학점</x:t>
  </x:si>
  <x:si>
    <x:t>한국사1</x:t>
  </x:si>
  <x:si>
    <x:t>공통영어2</x:t>
  </x:si>
  <x:si>
    <x:t>기본
학점</x:t>
  </x:si>
  <x:si>
    <x:t>통합과학2</x:t>
  </x:si>
  <x:si>
    <x:t>한국사2</x:t>
  </x:si>
  <x:si>
    <x:t>통합사회1</x:t>
  </x:si>
  <x:si>
    <x:t>미적분Ⅰ</x:t>
  </x:si>
  <x:si>
    <x:t>스포츠 생활1</x:t>
  </x:si>
  <x:si>
    <x:t>과학탐구실험2</x:t>
  </x:si>
  <x:si>
    <x:t>스포츠 생활2</x:t>
  </x:si>
  <x:si>
    <x:t>스포츠 과학</x:t>
  </x:si>
  <x:si>
    <x:t>통합사회2</x:t>
  </x:si>
  <x:si>
    <x:t>화법과 언어</x:t>
  </x:si>
  <x:si>
    <x:t>과학탐구실험1</x:t>
  </x:si>
  <x:si>
    <x:t>스포츠 문화</x:t>
  </x:si>
  <x:si>
    <x:t>독서와 작문</x:t>
  </x:si>
  <x:si>
    <x:t>공통영어1</x:t>
  </x:si>
  <x:si>
    <x:t>사회문제 탐구</x:t>
  </x:si>
  <x:si>
    <x:t>융합과학 탐구</x:t>
  </x:si>
  <x:si>
    <x:t>통합과학1</x:t>
  </x:si>
  <x:si>
    <x:t>공통수학1</x:t>
  </x:si>
  <x:si>
    <x:t>공통국어1</x:t>
  </x:si>
  <x:si>
    <x:t>공통수학2</x:t>
  </x:si>
  <x:si>
    <x:t>공통국어2</x:t>
  </x:si>
  <x:si>
    <x:t>식품과 영양</x:t>
  </x:si>
  <x:si>
    <x:t>생태와 환경</x:t>
  </x:si>
  <x:si>
    <x:t>역학과 에너지</x:t>
  </x:si>
  <x:si>
    <x:t>법과 사회</x:t>
  </x:si>
  <x:si>
    <x:t>문학과 영상</x:t>
  </x:si>
  <x:si>
    <x:t>택1
2</x:t>
  </x:si>
  <x:si>
    <x:t>매체 의사소통</x:t>
  </x:si>
  <x:si>
    <x:t>생명과학</x:t>
  </x:si>
  <x:si>
    <x:t>사회와 문화</x:t>
  </x:si>
  <x:si>
    <x:t>생물의 유전</x:t>
  </x:si>
  <x:si>
    <x:t>한국지리 탐구</x:t>
  </x:si>
  <x:si>
    <x:t>미적분Ⅱ</x:t>
  </x:si>
  <x:si>
    <x:t>전자기와 양자</x:t>
  </x:si>
  <x:si>
    <x:t>물질과 에너지</x:t>
  </x:si>
  <x:si>
    <x:t>교육의 이해</x:t>
  </x:si>
  <x:si>
    <x:t>인간과 철학</x:t>
  </x:si>
  <x:si>
    <x:t>논리와 사고</x:t>
  </x:si>
  <x:si>
    <x:t>수학과제 탐구</x:t>
  </x:si>
  <x:si>
    <x:t>기술/가정</x:t>
  </x:si>
  <x:si>
    <x:t>윤리와 사상</x:t>
  </x:si>
  <x:si>
    <x:t>인간과 심리</x:t>
  </x:si>
  <x:si>
    <x:t>지구과학</x:t>
  </x:si>
  <x:si>
    <x:t>윤리문제 탐구</x:t>
  </x:si>
  <x:si>
    <x:t>미술 창작</x:t>
  </x:si>
  <x:si>
    <x:t>인공지능 기초</x:t>
  </x:si>
  <x:si>
    <x:t>확률과 통계</x:t>
  </x:si>
  <x:si>
    <x:t>영어 독해와 작문</x:t>
  </x:si>
  <x:si>
    <x:t>택4
(4)
16</x:t>
  </x:si>
  <x:si>
    <x:t>택3
(3)
 9</x:t>
  </x:si>
  <x:si>
    <x:t>실생활 영어 회화</x:t>
  </x:si>
  <x:si>
    <x:t>택1
(3)
3</x:t>
  </x:si>
  <x:si>
    <x:t>세포와 물질대사</x:t>
  </x:si>
  <x:si>
    <x:t>영미 문학 읽기</x:t>
  </x:si>
  <x:si>
    <x:t>화학반응의 세계</x:t>
  </x:si>
  <x:si>
    <x:t>음악 감상과 비평</x:t>
  </x:si>
  <x:si>
    <x:t>택5
(3)
15</x:t>
  </x:si>
  <x:si>
    <x:t>세계시민과 지리</x:t>
  </x:si>
  <x:si>
    <x:t>현대사회와 윤리</x:t>
  </x:si>
  <x:si>
    <x:t>주제 탐구 독서</x:t>
  </x:si>
  <x:si>
    <x:t>소프트웨어와 생활</x:t>
  </x:si>
  <x:si>
    <x:t>택4
(3)
12</x:t>
  </x:si>
  <x:si>
    <x:t>기후변화와 환경생태</x:t>
  </x:si>
  <x:si>
    <x:t>독서 토론과 글쓰기</x:t>
  </x:si>
  <x:si>
    <x:t>음악 연주와 창작</x:t>
  </x:si>
  <x:si>
    <x:t>택2
(3)
6</x:t>
  </x:si>
  <x:si>
    <x:t>미술 감상과 비평</x:t>
  </x:si>
  <x:si>
    <x:t>지구 시스템 과학</x:t>
  </x:si>
  <x:si>
    <x:t>여행지리</x:t>
  </x:si>
  <x:si>
    <x:t>학기별 총 이수 학점 계</x:t>
  </x:si>
  <x:si>
    <x:t>심화 영어 독해와 작문</x:t>
  </x:si>
  <x:si>
    <x:t>필수
이수
학점</x:t>
  </x:si>
  <x:si>
    <x:t>학기당 이수 과목 수</x:t>
  </x:si>
  <x:si>
    <x:t>창의적 체험활동</x:t>
  </x:si>
  <x:si>
    <x:t>과 학</x:t>
  </x:si>
  <x:si>
    <x:t>사 회</x:t>
  </x:si>
  <x:si>
    <x:t>과목</x:t>
  </x:si>
  <x:si>
    <x:t>예 술</x:t>
  </x:si>
  <x:si>
    <x:t>체 육</x:t>
  </x:si>
  <x:si>
    <x:t>학교 지정 교과 이수 학점 소계</x:t>
  </x:si>
  <x:si>
    <x:t>교과 이수 학점 소계</x:t>
  </x:si>
  <x:si>
    <x:t>2026학년도 입학생 3개년 교육과정 편성표(선산고)</x:t>
  </x:si>
  <x:si>
    <x:t>체육1</x:t>
  </x:si>
  <x:si>
    <x:t>(3)</x:t>
  </x:si>
  <x:si>
    <x:t>체육2</x:t>
  </x:si>
  <x:si>
    <x:t>융합</x:t>
  </x:si>
  <x:si>
    <x:t>대수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</x:si>
</x:sst>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2">
    <x:numFmt numFmtId="164" formatCode="mm&quot;월&quot;\ dd&quot;일&quot;"/>
    <x:numFmt numFmtId="165" formatCode="0_ "/>
  </x:numFmts>
  <x:fonts count="12"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맑은 고딕"/>
      <x:sz val="12"/>
      <x:color rgb="ff000000"/>
      <x:b val="1"/>
    </x:font>
    <x:font>
      <x:name val="맑은 고딕"/>
      <x:sz val="9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8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8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  <x:b val="1"/>
        </x:font>
      </mc:Fallback>
    </mc:AlternateContent>
    <x:font>
      <x:name val="맑은 고딕"/>
      <x:sz val="11"/>
      <x:color rgb="ff000000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dbeef3"/>
        <x:bgColor indexed="64"/>
      </x:patternFill>
    </x:fill>
  </x:fills>
  <x:borders count="3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thick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thick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83">
    <x:xf numFmtId="0" fontId="0" fillId="0" borderId="0" xfId="0">
      <x:alignment horizontal="general" vertical="center"/>
    </x:xf>
    <x:xf numFmtId="0" fontId="0" fillId="0" borderId="0" xfId="0" applyNumberFormat="1" applyAlignment="1">
      <x:alignment horizontal="general" vertical="bottom"/>
    </x:xf>
    <x:xf numFmtId="0" fontId="0" fillId="0" borderId="0" xfId="0" applyNumberFormat="1" applyFont="1" applyFill="1" applyBorder="1" applyAlignment="1">
      <x:alignment horizontal="general" vertical="bottom" shrinkToFit="1"/>
    </x:xf>
    <x:xf numFmtId="0" fontId="6" fillId="0" borderId="0" xfId="0" applyNumberFormat="1" applyFont="1" applyFill="1" applyBorder="1" applyAlignment="1" applyProtection="1">
      <x:alignment horizontal="left" vertical="bottom"/>
    </x:xf>
    <x:xf numFmtId="0" fontId="6" fillId="0" borderId="1" xfId="0" applyNumberFormat="1" applyFont="1" applyFill="1" applyBorder="1" applyAlignment="1" applyProtection="1">
      <x:alignment horizontal="left" vertical="bottom" shrinkToFit="1"/>
    </x:xf>
    <x:xf numFmtId="0" fontId="6" fillId="0" borderId="1" xfId="0" applyNumberFormat="1" applyFont="1" applyFill="1" applyBorder="1" applyAlignment="1" applyProtection="1">
      <x:alignment horizontal="left" vertical="bottom"/>
    </x:xf>
    <mc:AlternateContent xmlns:mc="http://schemas.openxmlformats.org/markup-compatibility/2006">
      <mc:Choice xmlns:hs="http://schemas.haansoft.com/office/spreadsheet/8.0" Requires="hs">
        <x:xf numFmtId="0" fontId="7" fillId="0" borderId="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7" fillId="0" borderId="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7" fillId="0" borderId="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" xfId="0" quotePrefix="1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" xfId="0" quotePrefix="1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3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3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7" fillId="0" borderId="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7" fillId="0" borderId="3" xfId="0" applyNumberFormat="1" applyFont="1" applyFill="1" applyBorder="1" applyAlignment="1">
          <x:alignment horizontal="center" vertical="center"/>
        </x:xf>
      </mc:Fallback>
    </mc:AlternateContent>
    <x:xf numFmtId="0" fontId="8" fillId="0" borderId="4" xfId="0" applyNumberFormat="1" applyFont="1" applyFill="1" applyBorder="1" applyAlignment="1" applyProtection="1">
      <x:alignment horizontal="general" vertical="center" wrapText="1"/>
    </x:xf>
    <mc:AlternateContent xmlns:mc="http://schemas.openxmlformats.org/markup-compatibility/2006">
      <mc:Choice xmlns:hs="http://schemas.haansoft.com/office/spreadsheet/8.0" Requires="hs">
        <x:xf numFmtId="0" fontId="7" fillId="0" borderId="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2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2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3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3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" xfId="0" applyNumberFormat="1" applyFont="1" applyFill="1" applyBorder="1" applyAlignment="1" applyProtection="1">
          <x:alignment horizontal="center" vertical="center" wrapText="1"/>
        </x:xf>
      </mc:Fallback>
    </mc:AlternateContent>
    <x:xf numFmtId="0" fontId="7" fillId="0" borderId="3" xfId="0" applyNumberFormat="1" applyFont="1" applyFill="1" applyBorder="1" applyAlignment="1" applyProtection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5" fontId="7" fillId="0" borderId="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7" fillId="0" borderId="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" xfId="0" quotePrefix="1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" xfId="0" quotePrefix="1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" xfId="0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2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2" borderId="3" xfId="0" applyNumberFormat="1" applyFont="1" applyFill="1" applyBorder="1" applyAlignment="1" applyProtection="1">
          <x:alignment horizontal="center" vertical="center"/>
        </x:xf>
      </mc:Fallback>
    </mc:AlternateContent>
    <x:xf numFmtId="0" fontId="7" fillId="0" borderId="7" xfId="0" applyNumberFormat="1" applyFont="1" applyFill="1" applyBorder="1" applyAlignment="1" applyProtection="1">
      <x:alignment horizontal="general" vertical="center" wrapText="1"/>
    </x:xf>
    <x:xf numFmtId="0" fontId="0" fillId="0" borderId="0" xfId="0" applyNumberFormat="1" applyFont="1" applyAlignment="1">
      <x:alignment horizontal="general" vertical="bottom"/>
    </x:xf>
    <mc:AlternateContent xmlns:mc="http://schemas.openxmlformats.org/markup-compatibility/2006">
      <mc:Choice xmlns:hs="http://schemas.haansoft.com/office/spreadsheet/8.0" Requires="hs">
        <x:xf numFmtId="0" fontId="7" fillId="3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3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9" fillId="0" borderId="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9" fillId="0" borderId="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0" borderId="1" xfId="0" applyNumberFormat="1" applyFont="1" applyFill="1" applyBorder="1" applyAlignment="1" applyProtection="1" hs:applyExtension="1">
          <x:alignment horizontal="center" vertical="bottom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0" borderId="1" xfId="0" applyNumberFormat="1" applyFont="1" applyFill="1" applyBorder="1" applyAlignment="1" applyProtection="1">
          <x:alignment horizontal="center" vertical="bottom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8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8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8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8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9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9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10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10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9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9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7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7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0" fillId="4" borderId="1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0" fillId="4" borderId="1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2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4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4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0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0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5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5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6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6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7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7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9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9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3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3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9" fontId="7" fillId="0" borderId="3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9" fontId="7" fillId="0" borderId="3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5" xfId="0" applyNumberFormat="1" applyFont="1" applyFill="1" applyBorder="1" applyAlignment="1" applyProtection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5" xfId="0" applyNumberFormat="1" applyFont="1" applyFill="1" applyBorder="1" applyAlignment="1" applyProtection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18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18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8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8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1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1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2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2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3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3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4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4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9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9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0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0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25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25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26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26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27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27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25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25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26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26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27" xfId="0" applyNumberFormat="1" applyFont="1" applyFill="1" applyBorder="1" applyAlignment="1" applyProtection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27" xfId="0" applyNumberFormat="1" applyFont="1" applyFill="1" applyBorder="1" applyAlignment="1" applyProtection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28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28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29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29" xfId="0" applyNumberFormat="1" applyFont="1" applyFill="1" applyBorder="1" applyAlignment="1" applyProtection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30" xfId="0" applyNumberFormat="1" applyFont="1" applyFill="1" applyBorder="1" applyAlignment="1" applyProtection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30" xfId="0" applyNumberFormat="1" applyFont="1" applyFill="1" applyBorder="1" applyAlignment="1" applyProtection="1">
          <x:alignment horizontal="center" vertical="center" wrapText="1"/>
        </x:xf>
      </mc:Fallback>
    </mc:AlternateContent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pageSetUpPr autoPageBreaks="1" fitToPage="1"/>
  </x:sheetPr>
  <x:dimension ref="A1:R92"/>
  <x:sheetViews>
    <x:sheetView tabSelected="1" view="pageBreakPreview" topLeftCell="A19" zoomScale="110" zoomScaleNormal="110" zoomScaleSheetLayoutView="110" workbookViewId="0">
      <x:selection activeCell="D86" activeCellId="0" sqref="D86:D86"/>
    </x:sheetView>
  </x:sheetViews>
  <x:sheetFormatPr defaultColWidth="8.88671875" defaultRowHeight="13.55000000000000071054"/>
  <x:cols>
    <x:col min="1" max="1" width="3.5546875" style="1" customWidth="1"/>
    <x:col min="2" max="2" width="7.109375" style="2" customWidth="1"/>
    <x:col min="3" max="3" width="26" style="1" customWidth="1"/>
    <x:col min="4" max="4" width="8.21875" style="1" customWidth="1"/>
    <x:col min="5" max="8" width="4.77734375" style="1" customWidth="1"/>
    <x:col min="9" max="9" width="5" style="1" customWidth="1"/>
    <x:col min="10" max="12" width="4.77734375" style="1" customWidth="1"/>
    <x:col min="13" max="13" width="5.77734375" style="1" customWidth="1"/>
    <x:col min="14" max="14" width="5.5546875" style="1" customWidth="1"/>
    <x:col min="15" max="16384" width="8.88671875" style="1"/>
  </x:cols>
  <x:sheetData>
    <x:row r="1" spans="1:14" ht="39.75" customHeight="1">
      <x:c r="A1" s="32" t="s">
        <x:v>119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</x:row>
    <x:row r="2" spans="1:14" ht="24" customHeight="1">
      <x:c r="A2" s="3"/>
      <x:c r="B2" s="4"/>
      <x:c r="C2" s="5"/>
      <x:c r="D2" s="5"/>
      <x:c r="E2" s="5"/>
      <x:c r="F2" s="5"/>
      <x:c r="G2" s="5"/>
      <x:c r="H2" s="5"/>
      <x:c r="I2" s="33"/>
      <x:c r="J2" s="33"/>
      <x:c r="K2" s="33"/>
      <x:c r="L2" s="33"/>
      <x:c r="M2" s="33"/>
      <x:c r="N2" s="33"/>
    </x:row>
    <x:row r="3" spans="1:14" ht="13.5" customHeight="1">
      <x:c r="A3" s="34" t="s">
        <x:v>2</x:v>
      </x:c>
      <x:c r="B3" s="37" t="s">
        <x:v>28</x:v>
      </x:c>
      <x:c r="C3" s="39" t="s">
        <x:v>114</x:v>
      </x:c>
      <x:c r="D3" s="39" t="s">
        <x:v>29</x:v>
      </x:c>
      <x:c r="E3" s="39" t="s">
        <x:v>37</x:v>
      </x:c>
      <x:c r="F3" s="39" t="s">
        <x:v>34</x:v>
      </x:c>
      <x:c r="G3" s="41" t="s">
        <x:v>7</x:v>
      </x:c>
      <x:c r="H3" s="41"/>
      <x:c r="I3" s="41" t="s">
        <x:v>13</x:v>
      </x:c>
      <x:c r="J3" s="41"/>
      <x:c r="K3" s="41" t="s">
        <x:v>4</x:v>
      </x:c>
      <x:c r="L3" s="41"/>
      <x:c r="M3" s="39" t="s">
        <x:v>30</x:v>
      </x:c>
      <x:c r="N3" s="43" t="s">
        <x:v>109</x:v>
      </x:c>
    </x:row>
    <x:row r="4" spans="1:14">
      <x:c r="A4" s="35"/>
      <x:c r="B4" s="38"/>
      <x:c r="C4" s="39"/>
      <x:c r="D4" s="39"/>
      <x:c r="E4" s="39"/>
      <x:c r="F4" s="39"/>
      <x:c r="G4" s="41" t="s">
        <x:v>12</x:v>
      </x:c>
      <x:c r="H4" s="41" t="s">
        <x:v>14</x:v>
      </x:c>
      <x:c r="I4" s="41" t="s">
        <x:v>12</x:v>
      </x:c>
      <x:c r="J4" s="41" t="s">
        <x:v>14</x:v>
      </x:c>
      <x:c r="K4" s="41" t="s">
        <x:v>12</x:v>
      </x:c>
      <x:c r="L4" s="41" t="s">
        <x:v>14</x:v>
      </x:c>
      <x:c r="M4" s="41"/>
      <x:c r="N4" s="44"/>
    </x:row>
    <x:row r="5" spans="1:14">
      <x:c r="A5" s="36"/>
      <x:c r="B5" s="38"/>
      <x:c r="C5" s="40"/>
      <x:c r="D5" s="40"/>
      <x:c r="E5" s="40"/>
      <x:c r="F5" s="40"/>
      <x:c r="G5" s="42"/>
      <x:c r="H5" s="42"/>
      <x:c r="I5" s="42"/>
      <x:c r="J5" s="42"/>
      <x:c r="K5" s="42"/>
      <x:c r="L5" s="42"/>
      <x:c r="M5" s="42"/>
      <x:c r="N5" s="45"/>
    </x:row>
    <x:row r="6" spans="1:14" ht="17.25" customHeight="1">
      <x:c r="A6" s="46" t="s">
        <x:v>31</x:v>
      </x:c>
      <x:c r="B6" s="48" t="s">
        <x:v>15</x:v>
      </x:c>
      <x:c r="C6" s="6" t="s">
        <x:v>56</x:v>
      </x:c>
      <x:c r="D6" s="6" t="s">
        <x:v>3</x:v>
      </x:c>
      <x:c r="E6" s="7">
        <x:v>4</x:v>
      </x:c>
      <x:c r="F6" s="7">
        <x:v>3</x:v>
      </x:c>
      <x:c r="G6" s="7">
        <x:v>3</x:v>
      </x:c>
      <x:c r="H6" s="7"/>
      <x:c r="I6" s="8"/>
      <x:c r="J6" s="7"/>
      <x:c r="K6" s="7"/>
      <x:c r="L6" s="7"/>
      <x:c r="M6" s="51">
        <x:f>SUM(G6:L10)</x:f>
        <x:v>19</x:v>
      </x:c>
      <x:c r="N6" s="53">
        <x:v>8</x:v>
      </x:c>
    </x:row>
    <x:row r="7" spans="1:14" ht="17.25" customHeight="1">
      <x:c r="A7" s="47"/>
      <x:c r="B7" s="49"/>
      <x:c r="C7" s="9" t="s">
        <x:v>58</x:v>
      </x:c>
      <x:c r="D7" s="9" t="s">
        <x:v>3</x:v>
      </x:c>
      <x:c r="E7" s="10">
        <x:v>4</x:v>
      </x:c>
      <x:c r="F7" s="10">
        <x:v>4</x:v>
      </x:c>
      <x:c r="G7" s="10"/>
      <x:c r="H7" s="10">
        <x:v>4</x:v>
      </x:c>
      <x:c r="I7" s="10"/>
      <x:c r="J7" s="10"/>
      <x:c r="K7" s="10"/>
      <x:c r="L7" s="10"/>
      <x:c r="M7" s="52"/>
      <x:c r="N7" s="54"/>
    </x:row>
    <x:row r="8" spans="1:14" ht="17.25" customHeight="1">
      <x:c r="A8" s="47"/>
      <x:c r="B8" s="49"/>
      <x:c r="C8" s="9" t="s">
        <x:v>9</x:v>
      </x:c>
      <x:c r="D8" s="9" t="s">
        <x:v>10</x:v>
      </x:c>
      <x:c r="E8" s="10">
        <x:v>4</x:v>
      </x:c>
      <x:c r="F8" s="10">
        <x:v>4</x:v>
      </x:c>
      <x:c r="G8" s="10"/>
      <x:c r="H8" s="10"/>
      <x:c r="I8" s="10">
        <x:v>4</x:v>
      </x:c>
      <x:c r="J8" s="10"/>
      <x:c r="K8" s="10"/>
      <x:c r="L8" s="10"/>
      <x:c r="M8" s="52"/>
      <x:c r="N8" s="54"/>
    </x:row>
    <x:row r="9" spans="1:14" ht="17.25" customHeight="1">
      <x:c r="A9" s="47"/>
      <x:c r="B9" s="49"/>
      <x:c r="C9" s="9" t="s">
        <x:v>47</x:v>
      </x:c>
      <x:c r="D9" s="9" t="s">
        <x:v>10</x:v>
      </x:c>
      <x:c r="E9" s="10">
        <x:v>4</x:v>
      </x:c>
      <x:c r="F9" s="10">
        <x:v>4</x:v>
      </x:c>
      <x:c r="G9" s="10"/>
      <x:c r="H9" s="10"/>
      <x:c r="I9" s="10"/>
      <x:c r="J9" s="10">
        <x:v>4</x:v>
      </x:c>
      <x:c r="K9" s="10"/>
      <x:c r="L9" s="10"/>
      <x:c r="M9" s="52"/>
      <x:c r="N9" s="54"/>
    </x:row>
    <x:row r="10" spans="1:14" ht="17.25" customHeight="1">
      <x:c r="A10" s="47"/>
      <x:c r="B10" s="50"/>
      <x:c r="C10" s="9" t="s">
        <x:v>50</x:v>
      </x:c>
      <x:c r="D10" s="9" t="s">
        <x:v>10</x:v>
      </x:c>
      <x:c r="E10" s="10">
        <x:v>4</x:v>
      </x:c>
      <x:c r="F10" s="10">
        <x:v>4</x:v>
      </x:c>
      <x:c r="G10" s="10"/>
      <x:c r="H10" s="10"/>
      <x:c r="I10" s="10"/>
      <x:c r="J10" s="10"/>
      <x:c r="K10" s="10">
        <x:v>4</x:v>
      </x:c>
      <x:c r="L10" s="10"/>
      <x:c r="M10" s="52"/>
      <x:c r="N10" s="54"/>
    </x:row>
    <x:row r="11" spans="1:14" ht="17.25" customHeight="1">
      <x:c r="A11" s="47"/>
      <x:c r="B11" s="55" t="s">
        <x:v>8</x:v>
      </x:c>
      <x:c r="C11" s="9" t="s">
        <x:v>55</x:v>
      </x:c>
      <x:c r="D11" s="9" t="s">
        <x:v>3</x:v>
      </x:c>
      <x:c r="E11" s="10">
        <x:v>4</x:v>
      </x:c>
      <x:c r="F11" s="10">
        <x:v>3</x:v>
      </x:c>
      <x:c r="G11" s="10">
        <x:v>3</x:v>
      </x:c>
      <x:c r="H11" s="10"/>
      <x:c r="I11" s="10"/>
      <x:c r="J11" s="10"/>
      <x:c r="K11" s="10"/>
      <x:c r="L11" s="10"/>
      <x:c r="M11" s="56">
        <x:f>SUM(G11:L15)</x:f>
        <x:v>19</x:v>
      </x:c>
      <x:c r="N11" s="54">
        <x:v>8</x:v>
      </x:c>
    </x:row>
    <x:row r="12" spans="1:14" ht="17.25" customHeight="1">
      <x:c r="A12" s="47"/>
      <x:c r="B12" s="49"/>
      <x:c r="C12" s="9" t="s">
        <x:v>57</x:v>
      </x:c>
      <x:c r="D12" s="9" t="s">
        <x:v>3</x:v>
      </x:c>
      <x:c r="E12" s="10">
        <x:v>4</x:v>
      </x:c>
      <x:c r="F12" s="10">
        <x:v>4</x:v>
      </x:c>
      <x:c r="G12" s="10"/>
      <x:c r="H12" s="10">
        <x:v>4</x:v>
      </x:c>
      <x:c r="I12" s="10"/>
      <x:c r="J12" s="10"/>
      <x:c r="K12" s="10"/>
      <x:c r="L12" s="10"/>
      <x:c r="M12" s="56"/>
      <x:c r="N12" s="54"/>
    </x:row>
    <x:row r="13" spans="1:14" ht="17.25" customHeight="1">
      <x:c r="A13" s="47"/>
      <x:c r="B13" s="49"/>
      <x:c r="C13" s="9" t="s">
        <x:v>124</x:v>
      </x:c>
      <x:c r="D13" s="9" t="s">
        <x:v>10</x:v>
      </x:c>
      <x:c r="E13" s="10">
        <x:v>4</x:v>
      </x:c>
      <x:c r="F13" s="10">
        <x:v>4</x:v>
      </x:c>
      <x:c r="G13" s="10"/>
      <x:c r="H13" s="10"/>
      <x:c r="I13" s="10">
        <x:v>4</x:v>
      </x:c>
      <x:c r="J13" s="10"/>
      <x:c r="K13" s="10"/>
      <x:c r="L13" s="10"/>
      <x:c r="M13" s="56"/>
      <x:c r="N13" s="54"/>
    </x:row>
    <x:row r="14" spans="1:14" ht="17.25" customHeight="1">
      <x:c r="A14" s="47"/>
      <x:c r="B14" s="49"/>
      <x:c r="C14" s="9" t="s">
        <x:v>41</x:v>
      </x:c>
      <x:c r="D14" s="9" t="s">
        <x:v>10</x:v>
      </x:c>
      <x:c r="E14" s="10">
        <x:v>4</x:v>
      </x:c>
      <x:c r="F14" s="10">
        <x:v>4</x:v>
      </x:c>
      <x:c r="G14" s="10"/>
      <x:c r="H14" s="10"/>
      <x:c r="I14" s="10"/>
      <x:c r="J14" s="10">
        <x:v>4</x:v>
      </x:c>
      <x:c r="K14" s="10"/>
      <x:c r="L14" s="10"/>
      <x:c r="M14" s="56"/>
      <x:c r="N14" s="54"/>
    </x:row>
    <x:row r="15" spans="1:14" ht="17.25" customHeight="1">
      <x:c r="A15" s="47"/>
      <x:c r="B15" s="50"/>
      <x:c r="C15" s="9" t="s">
        <x:v>84</x:v>
      </x:c>
      <x:c r="D15" s="9" t="s">
        <x:v>10</x:v>
      </x:c>
      <x:c r="E15" s="10">
        <x:v>4</x:v>
      </x:c>
      <x:c r="F15" s="10">
        <x:v>4</x:v>
      </x:c>
      <x:c r="G15" s="10"/>
      <x:c r="H15" s="10"/>
      <x:c r="I15" s="10"/>
      <x:c r="J15" s="10">
        <x:v>4</x:v>
      </x:c>
      <x:c r="K15" s="10"/>
      <x:c r="L15" s="10"/>
      <x:c r="M15" s="52"/>
      <x:c r="N15" s="54"/>
    </x:row>
    <x:row r="16" spans="1:14" ht="17.25" customHeight="1">
      <x:c r="A16" s="47"/>
      <x:c r="B16" s="55" t="s">
        <x:v>11</x:v>
      </x:c>
      <x:c r="C16" s="9" t="s">
        <x:v>51</x:v>
      </x:c>
      <x:c r="D16" s="9" t="s">
        <x:v>3</x:v>
      </x:c>
      <x:c r="E16" s="10">
        <x:v>4</x:v>
      </x:c>
      <x:c r="F16" s="10">
        <x:v>3</x:v>
      </x:c>
      <x:c r="G16" s="10">
        <x:v>3</x:v>
      </x:c>
      <x:c r="H16" s="10"/>
      <x:c r="I16" s="10"/>
      <x:c r="J16" s="10"/>
      <x:c r="K16" s="10"/>
      <x:c r="L16" s="10"/>
      <x:c r="M16" s="52">
        <x:f>SUM(G16:L19)</x:f>
        <x:v>15</x:v>
      </x:c>
      <x:c r="N16" s="54">
        <x:v>8</x:v>
      </x:c>
    </x:row>
    <x:row r="17" spans="1:14" ht="17.25" customHeight="1">
      <x:c r="A17" s="47"/>
      <x:c r="B17" s="49"/>
      <x:c r="C17" s="9" t="s">
        <x:v>36</x:v>
      </x:c>
      <x:c r="D17" s="9" t="s">
        <x:v>3</x:v>
      </x:c>
      <x:c r="E17" s="10">
        <x:v>4</x:v>
      </x:c>
      <x:c r="F17" s="10">
        <x:v>4</x:v>
      </x:c>
      <x:c r="G17" s="10"/>
      <x:c r="H17" s="10">
        <x:v>4</x:v>
      </x:c>
      <x:c r="I17" s="10"/>
      <x:c r="J17" s="10"/>
      <x:c r="K17" s="10"/>
      <x:c r="L17" s="10"/>
      <x:c r="M17" s="52"/>
      <x:c r="N17" s="54"/>
    </x:row>
    <x:row r="18" spans="1:14" ht="17.25" customHeight="1">
      <x:c r="A18" s="47"/>
      <x:c r="B18" s="49"/>
      <x:c r="C18" s="9" t="s">
        <x:v>18</x:v>
      </x:c>
      <x:c r="D18" s="9" t="s">
        <x:v>10</x:v>
      </x:c>
      <x:c r="E18" s="10">
        <x:v>4</x:v>
      </x:c>
      <x:c r="F18" s="10">
        <x:v>4</x:v>
      </x:c>
      <x:c r="G18" s="10"/>
      <x:c r="H18" s="10"/>
      <x:c r="I18" s="10">
        <x:v>4</x:v>
      </x:c>
      <x:c r="J18" s="10"/>
      <x:c r="K18" s="10"/>
      <x:c r="L18" s="10"/>
      <x:c r="M18" s="52"/>
      <x:c r="N18" s="54"/>
    </x:row>
    <x:row r="19" spans="1:14" ht="17.25" customHeight="1">
      <x:c r="A19" s="47"/>
      <x:c r="B19" s="50"/>
      <x:c r="C19" s="9" t="s">
        <x:v>17</x:v>
      </x:c>
      <x:c r="D19" s="9" t="s">
        <x:v>10</x:v>
      </x:c>
      <x:c r="E19" s="10">
        <x:v>4</x:v>
      </x:c>
      <x:c r="F19" s="10">
        <x:v>4</x:v>
      </x:c>
      <x:c r="G19" s="10"/>
      <x:c r="H19" s="10"/>
      <x:c r="I19" s="9"/>
      <x:c r="J19" s="10">
        <x:v>4</x:v>
      </x:c>
      <x:c r="K19" s="10"/>
      <x:c r="L19" s="10"/>
      <x:c r="M19" s="52"/>
      <x:c r="N19" s="54"/>
    </x:row>
    <x:row r="20" spans="1:14" ht="17.25" customHeight="1">
      <x:c r="A20" s="47"/>
      <x:c r="B20" s="55" t="s">
        <x:v>113</x:v>
      </x:c>
      <x:c r="C20" s="9" t="s">
        <x:v>35</x:v>
      </x:c>
      <x:c r="D20" s="9" t="s">
        <x:v>3</x:v>
      </x:c>
      <x:c r="E20" s="10">
        <x:v>3</x:v>
      </x:c>
      <x:c r="F20" s="10">
        <x:v>3</x:v>
      </x:c>
      <x:c r="G20" s="10">
        <x:v>3</x:v>
      </x:c>
      <x:c r="H20" s="10"/>
      <x:c r="I20" s="10"/>
      <x:c r="J20" s="11"/>
      <x:c r="K20" s="10"/>
      <x:c r="L20" s="10"/>
      <x:c r="M20" s="52">
        <x:f>SUM(G20:H21)</x:f>
        <x:v>6</x:v>
      </x:c>
      <x:c r="N20" s="54">
        <x:v>6</x:v>
      </x:c>
    </x:row>
    <x:row r="21" spans="1:14" ht="17.25" customHeight="1">
      <x:c r="A21" s="47"/>
      <x:c r="B21" s="49"/>
      <x:c r="C21" s="9" t="s">
        <x:v>39</x:v>
      </x:c>
      <x:c r="D21" s="9" t="s">
        <x:v>3</x:v>
      </x:c>
      <x:c r="E21" s="10">
        <x:v>3</x:v>
      </x:c>
      <x:c r="F21" s="10">
        <x:v>3</x:v>
      </x:c>
      <x:c r="G21" s="10"/>
      <x:c r="H21" s="10">
        <x:v>3</x:v>
      </x:c>
      <x:c r="I21" s="10"/>
      <x:c r="J21" s="11"/>
      <x:c r="K21" s="10"/>
      <x:c r="L21" s="10"/>
      <x:c r="M21" s="52"/>
      <x:c r="N21" s="54"/>
    </x:row>
    <x:row r="22" spans="1:14" ht="17.25" customHeight="1">
      <x:c r="A22" s="46"/>
      <x:c r="B22" s="49"/>
      <x:c r="C22" s="9" t="s">
        <x:v>40</x:v>
      </x:c>
      <x:c r="D22" s="9" t="s">
        <x:v>3</x:v>
      </x:c>
      <x:c r="E22" s="10">
        <x:v>4</x:v>
      </x:c>
      <x:c r="F22" s="10">
        <x:v>4</x:v>
      </x:c>
      <x:c r="G22" s="10">
        <x:v>4</x:v>
      </x:c>
      <x:c r="H22" s="10"/>
      <x:c r="I22" s="10"/>
      <x:c r="J22" s="10"/>
      <x:c r="K22" s="11"/>
      <x:c r="L22" s="11"/>
      <x:c r="M22" s="52">
        <x:f>SUM(G22:L24)</x:f>
        <x:v>11</x:v>
      </x:c>
      <x:c r="N22" s="54">
        <x:v>8</x:v>
      </x:c>
    </x:row>
    <x:row r="23" spans="1:14" ht="17.25" customHeight="1">
      <x:c r="A23" s="47"/>
      <x:c r="B23" s="49"/>
      <x:c r="C23" s="9" t="s">
        <x:v>46</x:v>
      </x:c>
      <x:c r="D23" s="9" t="s">
        <x:v>3</x:v>
      </x:c>
      <x:c r="E23" s="10">
        <x:v>4</x:v>
      </x:c>
      <x:c r="F23" s="10">
        <x:v>4</x:v>
      </x:c>
      <x:c r="G23" s="10"/>
      <x:c r="H23" s="10">
        <x:v>4</x:v>
      </x:c>
      <x:c r="I23" s="10"/>
      <x:c r="J23" s="10"/>
      <x:c r="K23" s="11"/>
      <x:c r="L23" s="11"/>
      <x:c r="M23" s="52"/>
      <x:c r="N23" s="54"/>
    </x:row>
    <x:row r="24" spans="1:14" ht="17.25" customHeight="1">
      <x:c r="A24" s="47"/>
      <x:c r="B24" s="50"/>
      <x:c r="C24" s="9" t="s">
        <x:v>52</x:v>
      </x:c>
      <x:c r="D24" s="9" t="s">
        <x:v>123</x:v>
      </x:c>
      <x:c r="E24" s="10">
        <x:v>4</x:v>
      </x:c>
      <x:c r="F24" s="10">
        <x:v>3</x:v>
      </x:c>
      <x:c r="G24" s="10"/>
      <x:c r="H24" s="10"/>
      <x:c r="I24" s="10"/>
      <x:c r="J24" s="10"/>
      <x:c r="K24" s="11">
        <x:v>3</x:v>
      </x:c>
      <x:c r="L24" s="11"/>
      <x:c r="M24" s="52"/>
      <x:c r="N24" s="54"/>
    </x:row>
    <x:row r="25" spans="1:14" ht="17.25" customHeight="1">
      <x:c r="A25" s="47"/>
      <x:c r="B25" s="55" t="s">
        <x:v>112</x:v>
      </x:c>
      <x:c r="C25" s="9" t="s">
        <x:v>54</x:v>
      </x:c>
      <x:c r="D25" s="9" t="s">
        <x:v>3</x:v>
      </x:c>
      <x:c r="E25" s="10">
        <x:v>4</x:v>
      </x:c>
      <x:c r="F25" s="10">
        <x:v>4</x:v>
      </x:c>
      <x:c r="G25" s="10">
        <x:v>4</x:v>
      </x:c>
      <x:c r="H25" s="10"/>
      <x:c r="I25" s="10"/>
      <x:c r="J25" s="10"/>
      <x:c r="K25" s="11"/>
      <x:c r="L25" s="11"/>
      <x:c r="M25" s="56">
        <x:f>SUM(G25:L29)</x:f>
        <x:v>13</x:v>
      </x:c>
      <x:c r="N25" s="54">
        <x:v>10</x:v>
      </x:c>
    </x:row>
    <x:row r="26" spans="1:14" ht="17.25" customHeight="1">
      <x:c r="A26" s="46"/>
      <x:c r="B26" s="49"/>
      <x:c r="C26" s="9" t="s">
        <x:v>38</x:v>
      </x:c>
      <x:c r="D26" s="9" t="s">
        <x:v>3</x:v>
      </x:c>
      <x:c r="E26" s="10">
        <x:v>4</x:v>
      </x:c>
      <x:c r="F26" s="10">
        <x:v>4</x:v>
      </x:c>
      <x:c r="G26" s="10"/>
      <x:c r="H26" s="10">
        <x:v>4</x:v>
      </x:c>
      <x:c r="I26" s="10"/>
      <x:c r="J26" s="10"/>
      <x:c r="K26" s="11"/>
      <x:c r="L26" s="11"/>
      <x:c r="M26" s="56"/>
      <x:c r="N26" s="54"/>
    </x:row>
    <x:row r="27" spans="1:14" ht="17.25" customHeight="1">
      <x:c r="A27" s="47"/>
      <x:c r="B27" s="49"/>
      <x:c r="C27" s="9" t="s">
        <x:v>48</x:v>
      </x:c>
      <x:c r="D27" s="9" t="s">
        <x:v>3</x:v>
      </x:c>
      <x:c r="E27" s="10">
        <x:v>1</x:v>
      </x:c>
      <x:c r="F27" s="10">
        <x:v>1</x:v>
      </x:c>
      <x:c r="G27" s="10">
        <x:v>1</x:v>
      </x:c>
      <x:c r="H27" s="10"/>
      <x:c r="I27" s="10"/>
      <x:c r="J27" s="10"/>
      <x:c r="K27" s="11"/>
      <x:c r="L27" s="11"/>
      <x:c r="M27" s="56"/>
      <x:c r="N27" s="54"/>
    </x:row>
    <x:row r="28" spans="1:14" ht="17.25" customHeight="1">
      <x:c r="A28" s="47"/>
      <x:c r="B28" s="49"/>
      <x:c r="C28" s="9" t="s">
        <x:v>43</x:v>
      </x:c>
      <x:c r="D28" s="9" t="s">
        <x:v>3</x:v>
      </x:c>
      <x:c r="E28" s="10">
        <x:v>1</x:v>
      </x:c>
      <x:c r="F28" s="10">
        <x:v>1</x:v>
      </x:c>
      <x:c r="G28" s="10"/>
      <x:c r="H28" s="10">
        <x:v>1</x:v>
      </x:c>
      <x:c r="I28" s="10"/>
      <x:c r="J28" s="10"/>
      <x:c r="K28" s="11"/>
      <x:c r="L28" s="11"/>
      <x:c r="M28" s="56"/>
      <x:c r="N28" s="54"/>
    </x:row>
    <x:row r="29" spans="1:14" ht="17.25" customHeight="1">
      <x:c r="A29" s="47"/>
      <x:c r="B29" s="50"/>
      <x:c r="C29" s="9" t="s">
        <x:v>53</x:v>
      </x:c>
      <x:c r="D29" s="9" t="s">
        <x:v>123</x:v>
      </x:c>
      <x:c r="E29" s="10">
        <x:v>4</x:v>
      </x:c>
      <x:c r="F29" s="10">
        <x:v>3</x:v>
      </x:c>
      <x:c r="G29" s="10"/>
      <x:c r="H29" s="10"/>
      <x:c r="I29" s="10"/>
      <x:c r="J29" s="10"/>
      <x:c r="K29" s="10">
        <x:v>3</x:v>
      </x:c>
      <x:c r="L29" s="10"/>
      <x:c r="M29" s="52"/>
      <x:c r="N29" s="54"/>
    </x:row>
    <x:row r="30" spans="1:14" ht="17.25" customHeight="1">
      <x:c r="A30" s="47"/>
      <x:c r="B30" s="55" t="s">
        <x:v>116</x:v>
      </x:c>
      <x:c r="C30" s="9" t="s">
        <x:v>120</x:v>
      </x:c>
      <x:c r="D30" s="9" t="s">
        <x:v>10</x:v>
      </x:c>
      <x:c r="E30" s="10">
        <x:v>3</x:v>
      </x:c>
      <x:c r="F30" s="10">
        <x:v>2</x:v>
      </x:c>
      <x:c r="G30" s="10">
        <x:v>2</x:v>
      </x:c>
      <x:c r="H30" s="10"/>
      <x:c r="I30" s="10"/>
      <x:c r="J30" s="10"/>
      <x:c r="K30" s="10"/>
      <x:c r="L30" s="10"/>
      <x:c r="M30" s="52">
        <x:f>SUM(G30:L35)</x:f>
        <x:v>12</x:v>
      </x:c>
      <x:c r="N30" s="54">
        <x:v>10</x:v>
      </x:c>
    </x:row>
    <x:row r="31" spans="1:14" ht="17.25" customHeight="1">
      <x:c r="A31" s="47"/>
      <x:c r="B31" s="49"/>
      <x:c r="C31" s="9" t="s">
        <x:v>122</x:v>
      </x:c>
      <x:c r="D31" s="9" t="s">
        <x:v>10</x:v>
      </x:c>
      <x:c r="E31" s="10">
        <x:v>3</x:v>
      </x:c>
      <x:c r="F31" s="10">
        <x:v>2</x:v>
      </x:c>
      <x:c r="G31" s="10"/>
      <x:c r="H31" s="10">
        <x:v>2</x:v>
      </x:c>
      <x:c r="I31" s="10"/>
      <x:c r="J31" s="10"/>
      <x:c r="K31" s="10"/>
      <x:c r="L31" s="10"/>
      <x:c r="M31" s="52"/>
      <x:c r="N31" s="54"/>
    </x:row>
    <x:row r="32" spans="1:14" ht="17.25" customHeight="1">
      <x:c r="A32" s="47"/>
      <x:c r="B32" s="49"/>
      <x:c r="C32" s="9" t="s">
        <x:v>42</x:v>
      </x:c>
      <x:c r="D32" s="9" t="s">
        <x:v>123</x:v>
      </x:c>
      <x:c r="E32" s="10">
        <x:v>3</x:v>
      </x:c>
      <x:c r="F32" s="10">
        <x:v>2</x:v>
      </x:c>
      <x:c r="G32" s="10"/>
      <x:c r="H32" s="10"/>
      <x:c r="I32" s="10">
        <x:v>2</x:v>
      </x:c>
      <x:c r="J32" s="10"/>
      <x:c r="K32" s="10"/>
      <x:c r="L32" s="10"/>
      <x:c r="M32" s="52"/>
      <x:c r="N32" s="54"/>
    </x:row>
    <x:row r="33" spans="1:14" ht="17.25" customHeight="1">
      <x:c r="A33" s="47"/>
      <x:c r="B33" s="49"/>
      <x:c r="C33" s="9" t="s">
        <x:v>44</x:v>
      </x:c>
      <x:c r="D33" s="9" t="s">
        <x:v>123</x:v>
      </x:c>
      <x:c r="E33" s="10">
        <x:v>3</x:v>
      </x:c>
      <x:c r="F33" s="10">
        <x:v>2</x:v>
      </x:c>
      <x:c r="G33" s="10"/>
      <x:c r="H33" s="10"/>
      <x:c r="I33" s="10"/>
      <x:c r="J33" s="10">
        <x:v>2</x:v>
      </x:c>
      <x:c r="K33" s="10"/>
      <x:c r="L33" s="10"/>
      <x:c r="M33" s="52"/>
      <x:c r="N33" s="54"/>
    </x:row>
    <x:row r="34" spans="1:14" ht="17.25" customHeight="1">
      <x:c r="A34" s="47"/>
      <x:c r="B34" s="49"/>
      <x:c r="C34" s="9" t="s">
        <x:v>45</x:v>
      </x:c>
      <x:c r="D34" s="9" t="s">
        <x:v>20</x:v>
      </x:c>
      <x:c r="E34" s="10">
        <x:v>2</x:v>
      </x:c>
      <x:c r="F34" s="10">
        <x:v>2</x:v>
      </x:c>
      <x:c r="G34" s="10"/>
      <x:c r="H34" s="10"/>
      <x:c r="I34" s="10"/>
      <x:c r="J34" s="10"/>
      <x:c r="K34" s="10">
        <x:v>2</x:v>
      </x:c>
      <x:c r="L34" s="10"/>
      <x:c r="M34" s="52"/>
      <x:c r="N34" s="54"/>
    </x:row>
    <x:row r="35" spans="1:14" ht="17.25" customHeight="1">
      <x:c r="A35" s="47"/>
      <x:c r="B35" s="50"/>
      <x:c r="C35" s="9" t="s">
        <x:v>49</x:v>
      </x:c>
      <x:c r="D35" s="9" t="s">
        <x:v>20</x:v>
      </x:c>
      <x:c r="E35" s="10">
        <x:v>2</x:v>
      </x:c>
      <x:c r="F35" s="10">
        <x:v>2</x:v>
      </x:c>
      <x:c r="G35" s="10"/>
      <x:c r="H35" s="10"/>
      <x:c r="I35" s="10"/>
      <x:c r="J35" s="10"/>
      <x:c r="K35" s="10"/>
      <x:c r="L35" s="10">
        <x:v>2</x:v>
      </x:c>
      <x:c r="M35" s="52"/>
      <x:c r="N35" s="54"/>
    </x:row>
    <x:row r="36" spans="1:14" ht="17.25" customHeight="1">
      <x:c r="A36" s="47"/>
      <x:c r="B36" s="57" t="s">
        <x:v>115</x:v>
      </x:c>
      <x:c r="C36" s="9" t="s">
        <x:v>21</x:v>
      </x:c>
      <x:c r="D36" s="9" t="s">
        <x:v>10</x:v>
      </x:c>
      <x:c r="E36" s="10">
        <x:v>3</x:v>
      </x:c>
      <x:c r="F36" s="10">
        <x:v>3</x:v>
      </x:c>
      <x:c r="G36" s="10">
        <x:v>3</x:v>
      </x:c>
      <x:c r="H36" s="13" t="s">
        <x:v>121</x:v>
      </x:c>
      <x:c r="I36" s="10"/>
      <x:c r="J36" s="10"/>
      <x:c r="K36" s="10"/>
      <x:c r="L36" s="10"/>
      <x:c r="M36" s="58">
        <x:f>SUM(G36:H37)</x:f>
        <x:v>6</x:v>
      </x:c>
      <x:c r="N36" s="59">
        <x:v>10</x:v>
      </x:c>
    </x:row>
    <x:row r="37" spans="1:14" ht="17.25" customHeight="1">
      <x:c r="A37" s="47"/>
      <x:c r="B37" s="57"/>
      <x:c r="C37" s="9" t="s">
        <x:v>19</x:v>
      </x:c>
      <x:c r="D37" s="9" t="s">
        <x:v>10</x:v>
      </x:c>
      <x:c r="E37" s="10">
        <x:v>3</x:v>
      </x:c>
      <x:c r="F37" s="10">
        <x:v>3</x:v>
      </x:c>
      <x:c r="G37" s="13" t="s">
        <x:v>121</x:v>
      </x:c>
      <x:c r="H37" s="10">
        <x:v>3</x:v>
      </x:c>
      <x:c r="I37" s="10"/>
      <x:c r="J37" s="10"/>
      <x:c r="K37" s="10"/>
      <x:c r="L37" s="10"/>
      <x:c r="M37" s="56"/>
      <x:c r="N37" s="59"/>
    </x:row>
    <x:row r="38" spans="1:14" ht="17.25" customHeight="1">
      <x:c r="A38" s="47"/>
      <x:c r="B38" s="57" t="s">
        <x:v>23</x:v>
      </x:c>
      <x:c r="C38" s="9" t="s">
        <x:v>23</x:v>
      </x:c>
      <x:c r="D38" s="9" t="s">
        <x:v>10</x:v>
      </x:c>
      <x:c r="E38" s="10">
        <x:v>4</x:v>
      </x:c>
      <x:c r="F38" s="10">
        <x:v>3</x:v>
      </x:c>
      <x:c r="G38" s="10">
        <x:v>3</x:v>
      </x:c>
      <x:c r="H38" s="10"/>
      <x:c r="I38" s="10"/>
      <x:c r="J38" s="10"/>
      <x:c r="K38" s="10"/>
      <x:c r="L38" s="10"/>
      <x:c r="M38" s="58">
        <x:f>SUM(G38:L39)</x:f>
        <x:v>6</x:v>
      </x:c>
      <x:c r="N38" s="60">
        <x:v>16</x:v>
      </x:c>
    </x:row>
    <x:row r="39" spans="1:14" ht="17.25" customHeight="1">
      <x:c r="A39" s="47"/>
      <x:c r="B39" s="57"/>
      <x:c r="C39" s="9" t="s">
        <x:v>98</x:v>
      </x:c>
      <x:c r="D39" s="9" t="s">
        <x:v>123</x:v>
      </x:c>
      <x:c r="E39" s="10">
        <x:v>4</x:v>
      </x:c>
      <x:c r="F39" s="10">
        <x:v>3</x:v>
      </x:c>
      <x:c r="G39" s="13"/>
      <x:c r="H39" s="10"/>
      <x:c r="I39" s="10"/>
      <x:c r="J39" s="10"/>
      <x:c r="K39" s="10"/>
      <x:c r="L39" s="10">
        <x:v>3</x:v>
      </x:c>
      <x:c r="M39" s="56"/>
      <x:c r="N39" s="60"/>
    </x:row>
    <x:row r="40" spans="1:14" ht="17.25" customHeight="1">
      <x:c r="A40" s="14"/>
      <x:c r="B40" s="61" t="s">
        <x:v>117</x:v>
      </x:c>
      <x:c r="C40" s="61"/>
      <x:c r="D40" s="61"/>
      <x:c r="E40" s="61"/>
      <x:c r="F40" s="61"/>
      <x:c r="G40" s="15">
        <x:f t="shared" ref="G40:L40" si="0">SUM(G6:G39)</x:f>
        <x:v>29</x:v>
      </x:c>
      <x:c r="H40" s="15">
        <x:f t="shared" si="0"/>
        <x:v>29</x:v>
      </x:c>
      <x:c r="I40" s="15">
        <x:f t="shared" si="0"/>
        <x:v>14</x:v>
      </x:c>
      <x:c r="J40" s="15">
        <x:f t="shared" si="0"/>
        <x:v>18</x:v>
      </x:c>
      <x:c r="K40" s="15">
        <x:f t="shared" si="0"/>
        <x:v>12</x:v>
      </x:c>
      <x:c r="L40" s="15">
        <x:f t="shared" si="0"/>
        <x:v>5</x:v>
      </x:c>
      <x:c r="M40" s="15">
        <x:f>SUM(M6:M39)</x:f>
        <x:v>107</x:v>
      </x:c>
      <x:c r="N40" s="16">
        <x:f>SUM(N6:N39)</x:f>
        <x:v>84</x:v>
      </x:c>
    </x:row>
    <x:row r="41" spans="1:14" ht="17.25" customHeight="1">
      <x:c r="A41" s="62" t="s">
        <x:v>32</x:v>
      </x:c>
      <x:c r="B41" s="17" t="s">
        <x:v>15</x:v>
      </x:c>
      <x:c r="C41" s="18" t="s">
        <x:v>97</x:v>
      </x:c>
      <x:c r="D41" s="18" t="s">
        <x:v>10</x:v>
      </x:c>
      <x:c r="E41" s="18">
        <x:v>4</x:v>
      </x:c>
      <x:c r="F41" s="19">
        <x:v>3</x:v>
      </x:c>
      <x:c r="G41" s="18"/>
      <x:c r="H41" s="18"/>
      <x:c r="I41" s="64" t="s">
        <x:v>94</x:v>
      </x:c>
      <x:c r="J41" s="18"/>
      <x:c r="K41" s="18"/>
      <x:c r="L41" s="18"/>
      <x:c r="M41" s="51">
        <x:v>15</x:v>
      </x:c>
      <x:c r="N41" s="65"/>
    </x:row>
    <x:row r="42" spans="1:14" ht="17.25" customHeight="1">
      <x:c r="A42" s="63"/>
      <x:c r="B42" s="20" t="s">
        <x:v>8</x:v>
      </x:c>
      <x:c r="C42" s="21" t="s">
        <x:v>33</x:v>
      </x:c>
      <x:c r="D42" s="21" t="s">
        <x:v>10</x:v>
      </x:c>
      <x:c r="E42" s="21">
        <x:v>4</x:v>
      </x:c>
      <x:c r="F42" s="22">
        <x:v>3</x:v>
      </x:c>
      <x:c r="G42" s="21"/>
      <x:c r="H42" s="21"/>
      <x:c r="I42" s="56"/>
      <x:c r="J42" s="21"/>
      <x:c r="K42" s="21"/>
      <x:c r="L42" s="21"/>
      <x:c r="M42" s="52"/>
      <x:c r="N42" s="66"/>
    </x:row>
    <x:row r="43" spans="1:14" ht="17.25" customHeight="1">
      <x:c r="A43" s="63"/>
      <x:c r="B43" s="20" t="s">
        <x:v>11</x:v>
      </x:c>
      <x:c r="C43" s="21" t="s">
        <x:v>88</x:v>
      </x:c>
      <x:c r="D43" s="21" t="s">
        <x:v>123</x:v>
      </x:c>
      <x:c r="E43" s="21">
        <x:v>4</x:v>
      </x:c>
      <x:c r="F43" s="22">
        <x:v>3</x:v>
      </x:c>
      <x:c r="G43" s="21"/>
      <x:c r="H43" s="21"/>
      <x:c r="I43" s="56"/>
      <x:c r="J43" s="21"/>
      <x:c r="K43" s="21"/>
      <x:c r="L43" s="21"/>
      <x:c r="M43" s="52"/>
      <x:c r="N43" s="66"/>
    </x:row>
    <x:row r="44" spans="1:14" ht="17.25" customHeight="1">
      <x:c r="A44" s="63"/>
      <x:c r="B44" s="57" t="s">
        <x:v>6</x:v>
      </x:c>
      <x:c r="C44" s="21" t="s">
        <x:v>67</x:v>
      </x:c>
      <x:c r="D44" s="21" t="s">
        <x:v>10</x:v>
      </x:c>
      <x:c r="E44" s="21">
        <x:v>4</x:v>
      </x:c>
      <x:c r="F44" s="22">
        <x:v>3</x:v>
      </x:c>
      <x:c r="G44" s="21"/>
      <x:c r="H44" s="21"/>
      <x:c r="I44" s="56"/>
      <x:c r="J44" s="21"/>
      <x:c r="K44" s="21"/>
      <x:c r="L44" s="21"/>
      <x:c r="M44" s="52"/>
      <x:c r="N44" s="66"/>
    </x:row>
    <x:row r="45" spans="1:14" ht="17.25" customHeight="1">
      <x:c r="A45" s="63"/>
      <x:c r="B45" s="57"/>
      <x:c r="C45" s="21" t="s">
        <x:v>95</x:v>
      </x:c>
      <x:c r="D45" s="21" t="s">
        <x:v>10</x:v>
      </x:c>
      <x:c r="E45" s="21">
        <x:v>4</x:v>
      </x:c>
      <x:c r="F45" s="22">
        <x:v>3</x:v>
      </x:c>
      <x:c r="G45" s="21"/>
      <x:c r="H45" s="21"/>
      <x:c r="I45" s="56"/>
      <x:c r="J45" s="21"/>
      <x:c r="K45" s="21"/>
      <x:c r="L45" s="21"/>
      <x:c r="M45" s="52"/>
      <x:c r="N45" s="66"/>
    </x:row>
    <x:row r="46" spans="1:14" ht="17.25" customHeight="1">
      <x:c r="A46" s="63"/>
      <x:c r="B46" s="57" t="s">
        <x:v>5</x:v>
      </x:c>
      <x:c r="C46" s="21" t="s">
        <x:v>66</x:v>
      </x:c>
      <x:c r="D46" s="21" t="s">
        <x:v>10</x:v>
      </x:c>
      <x:c r="E46" s="21">
        <x:v>4</x:v>
      </x:c>
      <x:c r="F46" s="22">
        <x:v>3</x:v>
      </x:c>
      <x:c r="G46" s="21"/>
      <x:c r="H46" s="21"/>
      <x:c r="I46" s="56"/>
      <x:c r="J46" s="21"/>
      <x:c r="K46" s="21"/>
      <x:c r="L46" s="21"/>
      <x:c r="M46" s="52"/>
      <x:c r="N46" s="66"/>
    </x:row>
    <x:row r="47" spans="1:14" ht="17.25" customHeight="1">
      <x:c r="A47" s="63"/>
      <x:c r="B47" s="57"/>
      <x:c r="C47" s="21" t="s">
        <x:v>80</x:v>
      </x:c>
      <x:c r="D47" s="21" t="s">
        <x:v>10</x:v>
      </x:c>
      <x:c r="E47" s="21">
        <x:v>4</x:v>
      </x:c>
      <x:c r="F47" s="22">
        <x:v>3</x:v>
      </x:c>
      <x:c r="G47" s="21"/>
      <x:c r="H47" s="21"/>
      <x:c r="I47" s="56"/>
      <x:c r="J47" s="21"/>
      <x:c r="K47" s="21"/>
      <x:c r="L47" s="21"/>
      <x:c r="M47" s="52"/>
      <x:c r="N47" s="66"/>
    </x:row>
    <x:row r="48" spans="1:14" ht="17.25" customHeight="1">
      <x:c r="A48" s="63"/>
      <x:c r="B48" s="57"/>
      <x:c r="C48" s="21" t="s">
        <x:v>71</x:v>
      </x:c>
      <x:c r="D48" s="21" t="s">
        <x:v>20</x:v>
      </x:c>
      <x:c r="E48" s="21">
        <x:v>4</x:v>
      </x:c>
      <x:c r="F48" s="22">
        <x:v>3</x:v>
      </x:c>
      <x:c r="G48" s="21"/>
      <x:c r="H48" s="21"/>
      <x:c r="I48" s="56"/>
      <x:c r="J48" s="21"/>
      <x:c r="K48" s="21"/>
      <x:c r="L48" s="21"/>
      <x:c r="M48" s="52"/>
      <x:c r="N48" s="66"/>
    </x:row>
    <x:row r="49" spans="1:14" ht="17.25" customHeight="1">
      <x:c r="A49" s="63"/>
      <x:c r="B49" s="57"/>
      <x:c r="C49" s="21" t="s">
        <x:v>68</x:v>
      </x:c>
      <x:c r="D49" s="21" t="s">
        <x:v>20</x:v>
      </x:c>
      <x:c r="E49" s="21">
        <x:v>4</x:v>
      </x:c>
      <x:c r="F49" s="22">
        <x:v>3</x:v>
      </x:c>
      <x:c r="G49" s="21"/>
      <x:c r="H49" s="21"/>
      <x:c r="I49" s="56"/>
      <x:c r="J49" s="22"/>
      <x:c r="K49" s="21"/>
      <x:c r="L49" s="21"/>
      <x:c r="M49" s="52"/>
      <x:c r="N49" s="66"/>
    </x:row>
    <x:row r="50" spans="1:14" ht="17.25" customHeight="1">
      <x:c r="A50" s="63"/>
      <x:c r="B50" s="57"/>
      <x:c r="C50" s="21" t="s">
        <x:v>92</x:v>
      </x:c>
      <x:c r="D50" s="21" t="s">
        <x:v>20</x:v>
      </x:c>
      <x:c r="E50" s="21">
        <x:v>4</x:v>
      </x:c>
      <x:c r="F50" s="22">
        <x:v>3</x:v>
      </x:c>
      <x:c r="G50" s="21"/>
      <x:c r="H50" s="21"/>
      <x:c r="I50" s="56"/>
      <x:c r="J50" s="21"/>
      <x:c r="K50" s="21"/>
      <x:c r="L50" s="21"/>
      <x:c r="M50" s="52"/>
      <x:c r="N50" s="66"/>
    </x:row>
    <x:row r="51" spans="1:14" ht="17.25" customHeight="1">
      <x:c r="A51" s="63"/>
      <x:c r="B51" s="57"/>
      <x:c r="C51" s="21" t="s">
        <x:v>105</x:v>
      </x:c>
      <x:c r="D51" s="21" t="s">
        <x:v>20</x:v>
      </x:c>
      <x:c r="E51" s="21">
        <x:v>4</x:v>
      </x:c>
      <x:c r="F51" s="22">
        <x:v>3</x:v>
      </x:c>
      <x:c r="G51" s="21"/>
      <x:c r="H51" s="21"/>
      <x:c r="I51" s="56"/>
      <x:c r="J51" s="21"/>
      <x:c r="K51" s="21"/>
      <x:c r="L51" s="21"/>
      <x:c r="M51" s="52"/>
      <x:c r="N51" s="67"/>
    </x:row>
    <x:row r="52" spans="1:14" ht="17.25" customHeight="1">
      <x:c r="A52" s="63"/>
      <x:c r="B52" s="20" t="s">
        <x:v>15</x:v>
      </x:c>
      <x:c r="C52" s="21" t="s">
        <x:v>101</x:v>
      </x:c>
      <x:c r="D52" s="21" t="s">
        <x:v>123</x:v>
      </x:c>
      <x:c r="E52" s="21">
        <x:v>4</x:v>
      </x:c>
      <x:c r="F52" s="22">
        <x:v>3</x:v>
      </x:c>
      <x:c r="G52" s="21"/>
      <x:c r="H52" s="21"/>
      <x:c r="I52" s="23"/>
      <x:c r="J52" s="56" t="s">
        <x:v>87</x:v>
      </x:c>
      <x:c r="K52" s="21"/>
      <x:c r="L52" s="21"/>
      <x:c r="M52" s="52">
        <x:v>11</x:v>
      </x:c>
      <x:c r="N52" s="68"/>
    </x:row>
    <x:row r="53" spans="1:14" ht="17.25" customHeight="1">
      <x:c r="A53" s="63"/>
      <x:c r="B53" s="20" t="s">
        <x:v>11</x:v>
      </x:c>
      <x:c r="C53" s="21" t="s">
        <x:v>91</x:v>
      </x:c>
      <x:c r="D53" s="21" t="s">
        <x:v>20</x:v>
      </x:c>
      <x:c r="E53" s="21">
        <x:v>4</x:v>
      </x:c>
      <x:c r="F53" s="22">
        <x:v>3</x:v>
      </x:c>
      <x:c r="G53" s="21"/>
      <x:c r="H53" s="21"/>
      <x:c r="I53" s="23"/>
      <x:c r="J53" s="52"/>
      <x:c r="K53" s="21"/>
      <x:c r="L53" s="21"/>
      <x:c r="M53" s="52"/>
      <x:c r="N53" s="69"/>
    </x:row>
    <x:row r="54" spans="1:14" ht="17.25" customHeight="1">
      <x:c r="A54" s="63"/>
      <x:c r="B54" s="57" t="s">
        <x:v>6</x:v>
      </x:c>
      <x:c r="C54" s="21" t="s">
        <x:v>62</x:v>
      </x:c>
      <x:c r="D54" s="21" t="s">
        <x:v>20</x:v>
      </x:c>
      <x:c r="E54" s="21">
        <x:v>4</x:v>
      </x:c>
      <x:c r="F54" s="22">
        <x:v>3</x:v>
      </x:c>
      <x:c r="G54" s="21"/>
      <x:c r="H54" s="21"/>
      <x:c r="I54" s="23"/>
      <x:c r="J54" s="52"/>
      <x:c r="K54" s="21"/>
      <x:c r="L54" s="21"/>
      <x:c r="M54" s="52"/>
      <x:c r="N54" s="69"/>
    </x:row>
    <x:row r="55" spans="1:14" ht="17.25" customHeight="1">
      <x:c r="A55" s="63"/>
      <x:c r="B55" s="57"/>
      <x:c r="C55" s="21" t="s">
        <x:v>69</x:v>
      </x:c>
      <x:c r="D55" s="21" t="s">
        <x:v>20</x:v>
      </x:c>
      <x:c r="E55" s="21">
        <x:v>4</x:v>
      </x:c>
      <x:c r="F55" s="22">
        <x:v>3</x:v>
      </x:c>
      <x:c r="G55" s="21"/>
      <x:c r="H55" s="21"/>
      <x:c r="I55" s="23"/>
      <x:c r="J55" s="52"/>
      <x:c r="K55" s="21"/>
      <x:c r="L55" s="21"/>
      <x:c r="M55" s="52"/>
      <x:c r="N55" s="69"/>
    </x:row>
    <x:row r="56" spans="1:14" ht="17.25" customHeight="1">
      <x:c r="A56" s="63"/>
      <x:c r="B56" s="57"/>
      <x:c r="C56" s="21" t="s">
        <x:v>96</x:v>
      </x:c>
      <x:c r="D56" s="21" t="s">
        <x:v>10</x:v>
      </x:c>
      <x:c r="E56" s="21">
        <x:v>4</x:v>
      </x:c>
      <x:c r="F56" s="22">
        <x:v>3</x:v>
      </x:c>
      <x:c r="G56" s="21"/>
      <x:c r="H56" s="21"/>
      <x:c r="I56" s="23"/>
      <x:c r="J56" s="52"/>
      <x:c r="K56" s="21"/>
      <x:c r="L56" s="21"/>
      <x:c r="M56" s="52"/>
      <x:c r="N56" s="69"/>
    </x:row>
    <x:row r="57" spans="1:14" ht="17.25" customHeight="1">
      <x:c r="A57" s="63"/>
      <x:c r="B57" s="57" t="s">
        <x:v>5</x:v>
      </x:c>
      <x:c r="C57" s="21" t="s">
        <x:v>27</x:v>
      </x:c>
      <x:c r="D57" s="21" t="s">
        <x:v>10</x:v>
      </x:c>
      <x:c r="E57" s="21">
        <x:v>4</x:v>
      </x:c>
      <x:c r="F57" s="22">
        <x:v>3</x:v>
      </x:c>
      <x:c r="G57" s="21"/>
      <x:c r="H57" s="21"/>
      <x:c r="I57" s="23"/>
      <x:c r="J57" s="52"/>
      <x:c r="K57" s="21"/>
      <x:c r="L57" s="21"/>
      <x:c r="M57" s="52"/>
      <x:c r="N57" s="69"/>
    </x:row>
    <x:row r="58" spans="1:14" ht="17.25" customHeight="1">
      <x:c r="A58" s="63"/>
      <x:c r="B58" s="57"/>
      <x:c r="C58" s="21" t="s">
        <x:v>25</x:v>
      </x:c>
      <x:c r="D58" s="21" t="s">
        <x:v>10</x:v>
      </x:c>
      <x:c r="E58" s="21">
        <x:v>4</x:v>
      </x:c>
      <x:c r="F58" s="22">
        <x:v>3</x:v>
      </x:c>
      <x:c r="G58" s="21"/>
      <x:c r="H58" s="21"/>
      <x:c r="I58" s="23"/>
      <x:c r="J58" s="52"/>
      <x:c r="K58" s="21"/>
      <x:c r="L58" s="21"/>
      <x:c r="M58" s="52"/>
      <x:c r="N58" s="69"/>
    </x:row>
    <x:row r="59" spans="1:14" ht="17.25" customHeight="1">
      <x:c r="A59" s="63"/>
      <x:c r="B59" s="57"/>
      <x:c r="C59" s="21" t="s">
        <x:v>68</x:v>
      </x:c>
      <x:c r="D59" s="21" t="s">
        <x:v>20</x:v>
      </x:c>
      <x:c r="E59" s="21">
        <x:v>4</x:v>
      </x:c>
      <x:c r="F59" s="22">
        <x:v>3</x:v>
      </x:c>
      <x:c r="G59" s="21"/>
      <x:c r="H59" s="21"/>
      <x:c r="I59" s="23"/>
      <x:c r="J59" s="52"/>
      <x:c r="K59" s="21"/>
      <x:c r="L59" s="21"/>
      <x:c r="M59" s="52"/>
      <x:c r="N59" s="69"/>
    </x:row>
    <x:row r="60" spans="1:14" ht="17.25" customHeight="1">
      <x:c r="A60" s="63"/>
      <x:c r="B60" s="57"/>
      <x:c r="C60" s="21" t="s">
        <x:v>92</x:v>
      </x:c>
      <x:c r="D60" s="21" t="s">
        <x:v>20</x:v>
      </x:c>
      <x:c r="E60" s="21">
        <x:v>4</x:v>
      </x:c>
      <x:c r="F60" s="22">
        <x:v>3</x:v>
      </x:c>
      <x:c r="G60" s="21"/>
      <x:c r="H60" s="21"/>
      <x:c r="I60" s="23"/>
      <x:c r="J60" s="52"/>
      <x:c r="K60" s="21"/>
      <x:c r="L60" s="21"/>
      <x:c r="M60" s="52"/>
      <x:c r="N60" s="69"/>
    </x:row>
    <x:row r="61" spans="1:14" ht="17.25" customHeight="1">
      <x:c r="A61" s="63"/>
      <x:c r="B61" s="57" t="s">
        <x:v>1</x:v>
      </x:c>
      <x:c r="C61" s="21" t="s">
        <x:v>0</x:v>
      </x:c>
      <x:c r="D61" s="21" t="s">
        <x:v>10</x:v>
      </x:c>
      <x:c r="E61" s="21">
        <x:v>3</x:v>
      </x:c>
      <x:c r="F61" s="22">
        <x:v>2</x:v>
      </x:c>
      <x:c r="G61" s="21"/>
      <x:c r="H61" s="21"/>
      <x:c r="I61" s="23"/>
      <x:c r="J61" s="56" t="s">
        <x:v>64</x:v>
      </x:c>
      <x:c r="K61" s="21"/>
      <x:c r="L61" s="21"/>
      <x:c r="M61" s="52"/>
      <x:c r="N61" s="69"/>
    </x:row>
    <x:row r="62" spans="1:14" ht="17.25" customHeight="1">
      <x:c r="A62" s="63"/>
      <x:c r="B62" s="57"/>
      <x:c r="C62" s="21" t="s">
        <x:v>73</x:v>
      </x:c>
      <x:c r="D62" s="21" t="s">
        <x:v>10</x:v>
      </x:c>
      <x:c r="E62" s="21">
        <x:v>3</x:v>
      </x:c>
      <x:c r="F62" s="22">
        <x:v>2</x:v>
      </x:c>
      <x:c r="G62" s="21"/>
      <x:c r="H62" s="21"/>
      <x:c r="I62" s="23"/>
      <x:c r="J62" s="52"/>
      <x:c r="K62" s="21"/>
      <x:c r="L62" s="21"/>
      <x:c r="M62" s="52"/>
      <x:c r="N62" s="69"/>
    </x:row>
    <x:row r="63" spans="1:14" ht="17.25" customHeight="1">
      <x:c r="A63" s="63"/>
      <x:c r="B63" s="57"/>
      <x:c r="C63" s="21" t="s">
        <x:v>79</x:v>
      </x:c>
      <x:c r="D63" s="21" t="s">
        <x:v>10</x:v>
      </x:c>
      <x:c r="E63" s="21">
        <x:v>3</x:v>
      </x:c>
      <x:c r="F63" s="22">
        <x:v>2</x:v>
      </x:c>
      <x:c r="G63" s="21"/>
      <x:c r="H63" s="21"/>
      <x:c r="I63" s="23"/>
      <x:c r="J63" s="52"/>
      <x:c r="K63" s="22"/>
      <x:c r="L63" s="21"/>
      <x:c r="M63" s="52"/>
      <x:c r="N63" s="70"/>
    </x:row>
    <x:row r="64" spans="1:14" ht="17.25" customHeight="1">
      <x:c r="A64" s="63"/>
      <x:c r="B64" s="20" t="s">
        <x:v>15</x:v>
      </x:c>
      <x:c r="C64" s="21" t="s">
        <x:v>63</x:v>
      </x:c>
      <x:c r="D64" s="21" t="s">
        <x:v>20</x:v>
      </x:c>
      <x:c r="E64" s="21">
        <x:v>4</x:v>
      </x:c>
      <x:c r="F64" s="22">
        <x:v>3</x:v>
      </x:c>
      <x:c r="G64" s="21"/>
      <x:c r="H64" s="21"/>
      <x:c r="I64" s="23"/>
      <x:c r="J64" s="21"/>
      <x:c r="K64" s="56" t="s">
        <x:v>99</x:v>
      </x:c>
      <x:c r="L64" s="21"/>
      <x:c r="M64" s="52">
        <x:v>17</x:v>
      </x:c>
      <x:c r="N64" s="71"/>
    </x:row>
    <x:row r="65" spans="1:14" ht="17.25" customHeight="1">
      <x:c r="A65" s="63"/>
      <x:c r="B65" s="20" t="s">
        <x:v>8</x:v>
      </x:c>
      <x:c r="C65" s="21" t="s">
        <x:v>70</x:v>
      </x:c>
      <x:c r="D65" s="21" t="s">
        <x:v>20</x:v>
      </x:c>
      <x:c r="E65" s="21">
        <x:v>4</x:v>
      </x:c>
      <x:c r="F65" s="22">
        <x:v>3</x:v>
      </x:c>
      <x:c r="G65" s="21"/>
      <x:c r="H65" s="21"/>
      <x:c r="I65" s="23"/>
      <x:c r="J65" s="21"/>
      <x:c r="K65" s="56"/>
      <x:c r="L65" s="21"/>
      <x:c r="M65" s="52"/>
      <x:c r="N65" s="72"/>
    </x:row>
    <x:row r="66" spans="1:14" ht="17.25" customHeight="1">
      <x:c r="A66" s="63"/>
      <x:c r="B66" s="20" t="s">
        <x:v>11</x:v>
      </x:c>
      <x:c r="C66" s="21" t="s">
        <x:v>85</x:v>
      </x:c>
      <x:c r="D66" s="21" t="s">
        <x:v>20</x:v>
      </x:c>
      <x:c r="E66" s="21">
        <x:v>4</x:v>
      </x:c>
      <x:c r="F66" s="22">
        <x:v>3</x:v>
      </x:c>
      <x:c r="G66" s="21"/>
      <x:c r="H66" s="21"/>
      <x:c r="I66" s="23"/>
      <x:c r="J66" s="21"/>
      <x:c r="K66" s="56"/>
      <x:c r="L66" s="21"/>
      <x:c r="M66" s="52"/>
      <x:c r="N66" s="72"/>
    </x:row>
    <x:row r="67" spans="1:14" ht="17.25" customHeight="1">
      <x:c r="A67" s="63"/>
      <x:c r="B67" s="57" t="s">
        <x:v>6</x:v>
      </x:c>
      <x:c r="C67" s="21" t="s">
        <x:v>22</x:v>
      </x:c>
      <x:c r="D67" s="21" t="s">
        <x:v>10</x:v>
      </x:c>
      <x:c r="E67" s="21">
        <x:v>4</x:v>
      </x:c>
      <x:c r="F67" s="22">
        <x:v>3</x:v>
      </x:c>
      <x:c r="G67" s="21"/>
      <x:c r="H67" s="21"/>
      <x:c r="I67" s="23"/>
      <x:c r="J67" s="21"/>
      <x:c r="K67" s="56"/>
      <x:c r="L67" s="21"/>
      <x:c r="M67" s="52"/>
      <x:c r="N67" s="72"/>
    </x:row>
    <x:row r="68" spans="1:14" ht="17.25" customHeight="1">
      <x:c r="A68" s="63"/>
      <x:c r="B68" s="57"/>
      <x:c r="C68" s="21" t="s">
        <x:v>78</x:v>
      </x:c>
      <x:c r="D68" s="21" t="s">
        <x:v>20</x:v>
      </x:c>
      <x:c r="E68" s="21">
        <x:v>4</x:v>
      </x:c>
      <x:c r="F68" s="22">
        <x:v>3</x:v>
      </x:c>
      <x:c r="G68" s="21"/>
      <x:c r="H68" s="21"/>
      <x:c r="I68" s="23"/>
      <x:c r="J68" s="21"/>
      <x:c r="K68" s="56"/>
      <x:c r="L68" s="21"/>
      <x:c r="M68" s="52"/>
      <x:c r="N68" s="72"/>
    </x:row>
    <x:row r="69" spans="1:14" ht="17.25" customHeight="1">
      <x:c r="A69" s="63"/>
      <x:c r="B69" s="57" t="s">
        <x:v>5</x:v>
      </x:c>
      <x:c r="C69" s="21" t="s">
        <x:v>61</x:v>
      </x:c>
      <x:c r="D69" s="21" t="s">
        <x:v>20</x:v>
      </x:c>
      <x:c r="E69" s="21">
        <x:v>4</x:v>
      </x:c>
      <x:c r="F69" s="22">
        <x:v>3</x:v>
      </x:c>
      <x:c r="G69" s="21"/>
      <x:c r="H69" s="21"/>
      <x:c r="I69" s="23"/>
      <x:c r="J69" s="21"/>
      <x:c r="K69" s="56"/>
      <x:c r="L69" s="21"/>
      <x:c r="M69" s="52"/>
      <x:c r="N69" s="72"/>
    </x:row>
    <x:row r="70" spans="1:14" ht="17.25" customHeight="1">
      <x:c r="A70" s="63"/>
      <x:c r="B70" s="57"/>
      <x:c r="C70" s="21" t="s">
        <x:v>72</x:v>
      </x:c>
      <x:c r="D70" s="21" t="s">
        <x:v>20</x:v>
      </x:c>
      <x:c r="E70" s="21">
        <x:v>4</x:v>
      </x:c>
      <x:c r="F70" s="22">
        <x:v>3</x:v>
      </x:c>
      <x:c r="G70" s="21"/>
      <x:c r="H70" s="21"/>
      <x:c r="I70" s="23"/>
      <x:c r="J70" s="21"/>
      <x:c r="K70" s="56"/>
      <x:c r="L70" s="21"/>
      <x:c r="M70" s="52"/>
      <x:c r="N70" s="72"/>
    </x:row>
    <x:row r="71" spans="1:14" ht="17.25" customHeight="1">
      <x:c r="A71" s="63"/>
      <x:c r="B71" s="57"/>
      <x:c r="C71" s="21" t="s">
        <x:v>90</x:v>
      </x:c>
      <x:c r="D71" s="21" t="s">
        <x:v>20</x:v>
      </x:c>
      <x:c r="E71" s="21">
        <x:v>4</x:v>
      </x:c>
      <x:c r="F71" s="22">
        <x:v>3</x:v>
      </x:c>
      <x:c r="G71" s="21"/>
      <x:c r="H71" s="21"/>
      <x:c r="I71" s="23"/>
      <x:c r="J71" s="21"/>
      <x:c r="K71" s="56"/>
      <x:c r="L71" s="21"/>
      <x:c r="M71" s="52"/>
      <x:c r="N71" s="72"/>
    </x:row>
    <x:row r="72" spans="1:14" ht="17.25" customHeight="1">
      <x:c r="A72" s="63"/>
      <x:c r="B72" s="20" t="s">
        <x:v>6</x:v>
      </x:c>
      <x:c r="C72" s="21" t="s">
        <x:v>24</x:v>
      </x:c>
      <x:c r="D72" s="21" t="s">
        <x:v>20</x:v>
      </x:c>
      <x:c r="E72" s="21">
        <x:v>4</x:v>
      </x:c>
      <x:c r="F72" s="22">
        <x:v>3</x:v>
      </x:c>
      <x:c r="G72" s="21"/>
      <x:c r="H72" s="21"/>
      <x:c r="I72" s="23"/>
      <x:c r="J72" s="21"/>
      <x:c r="K72" s="56" t="s">
        <x:v>89</x:v>
      </x:c>
      <x:c r="L72" s="21"/>
      <x:c r="M72" s="52"/>
      <x:c r="N72" s="72"/>
    </x:row>
    <x:row r="73" spans="1:14" ht="17.25" customHeight="1">
      <x:c r="A73" s="63"/>
      <x:c r="B73" s="20" t="s">
        <x:v>77</x:v>
      </x:c>
      <x:c r="C73" s="22" t="s">
        <x:v>59</x:v>
      </x:c>
      <x:c r="D73" s="21" t="s">
        <x:v>20</x:v>
      </x:c>
      <x:c r="E73" s="21">
        <x:v>4</x:v>
      </x:c>
      <x:c r="F73" s="24">
        <x:v>3</x:v>
      </x:c>
      <x:c r="G73" s="21"/>
      <x:c r="H73" s="21"/>
      <x:c r="I73" s="21"/>
      <x:c r="J73" s="23"/>
      <x:c r="K73" s="52"/>
      <x:c r="L73" s="23"/>
      <x:c r="M73" s="52"/>
      <x:c r="N73" s="72"/>
    </x:row>
    <x:row r="74" spans="1:14" ht="17.25" customHeight="1">
      <x:c r="A74" s="63"/>
      <x:c r="B74" s="20" t="s">
        <x:v>23</x:v>
      </x:c>
      <x:c r="C74" s="22" t="s">
        <x:v>83</x:v>
      </x:c>
      <x:c r="D74" s="21" t="s">
        <x:v>20</x:v>
      </x:c>
      <x:c r="E74" s="21">
        <x:v>4</x:v>
      </x:c>
      <x:c r="F74" s="24">
        <x:v>3</x:v>
      </x:c>
      <x:c r="G74" s="21"/>
      <x:c r="H74" s="21"/>
      <x:c r="I74" s="21"/>
      <x:c r="J74" s="23"/>
      <x:c r="K74" s="52"/>
      <x:c r="L74" s="23"/>
      <x:c r="M74" s="52"/>
      <x:c r="N74" s="72"/>
    </x:row>
    <x:row r="75" spans="1:14" ht="17.25" customHeight="1">
      <x:c r="A75" s="63"/>
      <x:c r="B75" s="57" t="s">
        <x:v>16</x:v>
      </x:c>
      <x:c r="C75" s="22" t="s">
        <x:v>104</x:v>
      </x:c>
      <x:c r="D75" s="21" t="s">
        <x:v>20</x:v>
      </x:c>
      <x:c r="E75" s="21">
        <x:v>3</x:v>
      </x:c>
      <x:c r="F75" s="24">
        <x:v>2</x:v>
      </x:c>
      <x:c r="G75" s="21"/>
      <x:c r="H75" s="25"/>
      <x:c r="I75" s="23"/>
      <x:c r="J75" s="21"/>
      <x:c r="K75" s="56" t="s">
        <x:v>64</x:v>
      </x:c>
      <x:c r="L75" s="21"/>
      <x:c r="M75" s="52"/>
      <x:c r="N75" s="72"/>
    </x:row>
    <x:row r="76" spans="1:14" ht="17.25" customHeight="1">
      <x:c r="A76" s="63"/>
      <x:c r="B76" s="57"/>
      <x:c r="C76" s="22" t="s">
        <x:v>93</x:v>
      </x:c>
      <x:c r="D76" s="21" t="s">
        <x:v>20</x:v>
      </x:c>
      <x:c r="E76" s="21">
        <x:v>3</x:v>
      </x:c>
      <x:c r="F76" s="24">
        <x:v>2</x:v>
      </x:c>
      <x:c r="G76" s="21"/>
      <x:c r="H76" s="25"/>
      <x:c r="I76" s="23"/>
      <x:c r="J76" s="21"/>
      <x:c r="K76" s="52"/>
      <x:c r="L76" s="21"/>
      <x:c r="M76" s="52"/>
      <x:c r="N76" s="73"/>
    </x:row>
    <x:row r="77" spans="1:14" ht="17.25" customHeight="1">
      <x:c r="A77" s="63"/>
      <x:c r="B77" s="57"/>
      <x:c r="C77" s="22" t="s">
        <x:v>82</x:v>
      </x:c>
      <x:c r="D77" s="21" t="s">
        <x:v>20</x:v>
      </x:c>
      <x:c r="E77" s="21">
        <x:v>3</x:v>
      </x:c>
      <x:c r="F77" s="24">
        <x:v>2</x:v>
      </x:c>
      <x:c r="G77" s="21"/>
      <x:c r="H77" s="25"/>
      <x:c r="I77" s="23"/>
      <x:c r="J77" s="21"/>
      <x:c r="K77" s="21"/>
      <x:c r="L77" s="56" t="s">
        <x:v>64</x:v>
      </x:c>
      <x:c r="M77" s="52">
        <x:v>24</x:v>
      </x:c>
      <x:c r="N77" s="68"/>
    </x:row>
    <x:row r="78" spans="1:14" ht="17.25" customHeight="1">
      <x:c r="A78" s="63"/>
      <x:c r="B78" s="57"/>
      <x:c r="C78" s="26" t="s">
        <x:v>102</x:v>
      </x:c>
      <x:c r="D78" s="26" t="s">
        <x:v>20</x:v>
      </x:c>
      <x:c r="E78" s="21">
        <x:v>3</x:v>
      </x:c>
      <x:c r="F78" s="24">
        <x:v>2</x:v>
      </x:c>
      <x:c r="G78" s="21"/>
      <x:c r="H78" s="21"/>
      <x:c r="I78" s="21"/>
      <x:c r="J78" s="21"/>
      <x:c r="K78" s="21"/>
      <x:c r="L78" s="52"/>
      <x:c r="M78" s="52"/>
      <x:c r="N78" s="69"/>
    </x:row>
    <x:row r="79" spans="1:14" ht="17.25" customHeight="1">
      <x:c r="A79" s="63"/>
      <x:c r="B79" s="20" t="s">
        <x:v>15</x:v>
      </x:c>
      <x:c r="C79" s="26" t="s">
        <x:v>65</x:v>
      </x:c>
      <x:c r="D79" s="26" t="s">
        <x:v>20</x:v>
      </x:c>
      <x:c r="E79" s="21">
        <x:v>4</x:v>
      </x:c>
      <x:c r="F79" s="24">
        <x:v>4</x:v>
      </x:c>
      <x:c r="G79" s="21"/>
      <x:c r="H79" s="21"/>
      <x:c r="I79" s="21"/>
      <x:c r="J79" s="21"/>
      <x:c r="K79" s="22"/>
      <x:c r="L79" s="56" t="s">
        <x:v>86</x:v>
      </x:c>
      <x:c r="M79" s="52"/>
      <x:c r="N79" s="69"/>
    </x:row>
    <x:row r="80" spans="1:14" ht="17.25" customHeight="1">
      <x:c r="A80" s="63"/>
      <x:c r="B80" s="20" t="s">
        <x:v>8</x:v>
      </x:c>
      <x:c r="C80" s="26" t="s">
        <x:v>76</x:v>
      </x:c>
      <x:c r="D80" s="26" t="s">
        <x:v>20</x:v>
      </x:c>
      <x:c r="E80" s="21">
        <x:v>4</x:v>
      </x:c>
      <x:c r="F80" s="24">
        <x:v>4</x:v>
      </x:c>
      <x:c r="G80" s="21"/>
      <x:c r="H80" s="21"/>
      <x:c r="I80" s="21"/>
      <x:c r="J80" s="21"/>
      <x:c r="K80" s="21"/>
      <x:c r="L80" s="52"/>
      <x:c r="M80" s="52"/>
      <x:c r="N80" s="69"/>
    </x:row>
    <x:row r="81" spans="1:14" ht="17.25" customHeight="1">
      <x:c r="A81" s="63"/>
      <x:c r="B81" s="20" t="s">
        <x:v>11</x:v>
      </x:c>
      <x:c r="C81" s="26" t="s">
        <x:v>108</x:v>
      </x:c>
      <x:c r="D81" s="26" t="s">
        <x:v>20</x:v>
      </x:c>
      <x:c r="E81" s="21">
        <x:v>4</x:v>
      </x:c>
      <x:c r="F81" s="24">
        <x:v>4</x:v>
      </x:c>
      <x:c r="G81" s="27"/>
      <x:c r="H81" s="27"/>
      <x:c r="I81" s="21"/>
      <x:c r="J81" s="21"/>
      <x:c r="K81" s="23"/>
      <x:c r="L81" s="52"/>
      <x:c r="M81" s="52"/>
      <x:c r="N81" s="69"/>
    </x:row>
    <x:row r="82" spans="1:14" ht="17.25" customHeight="1">
      <x:c r="A82" s="63"/>
      <x:c r="B82" s="57" t="s">
        <x:v>6</x:v>
      </x:c>
      <x:c r="C82" s="26" t="s">
        <x:v>81</x:v>
      </x:c>
      <x:c r="D82" s="26" t="s">
        <x:v>123</x:v>
      </x:c>
      <x:c r="E82" s="21">
        <x:v>4</x:v>
      </x:c>
      <x:c r="F82" s="24">
        <x:v>4</x:v>
      </x:c>
      <x:c r="G82" s="27"/>
      <x:c r="H82" s="27"/>
      <x:c r="I82" s="21"/>
      <x:c r="J82" s="21"/>
      <x:c r="K82" s="23"/>
      <x:c r="L82" s="52"/>
      <x:c r="M82" s="52"/>
      <x:c r="N82" s="69"/>
    </x:row>
    <x:row r="83" spans="1:14" ht="17.25" customHeight="1">
      <x:c r="A83" s="63"/>
      <x:c r="B83" s="57"/>
      <x:c r="C83" s="26" t="s">
        <x:v>106</x:v>
      </x:c>
      <x:c r="D83" s="26" t="s">
        <x:v>123</x:v>
      </x:c>
      <x:c r="E83" s="21">
        <x:v>4</x:v>
      </x:c>
      <x:c r="F83" s="24">
        <x:v>4</x:v>
      </x:c>
      <x:c r="G83" s="27"/>
      <x:c r="H83" s="27"/>
      <x:c r="I83" s="21"/>
      <x:c r="J83" s="21"/>
      <x:c r="K83" s="23"/>
      <x:c r="L83" s="52"/>
      <x:c r="M83" s="52"/>
      <x:c r="N83" s="69"/>
    </x:row>
    <x:row r="84" spans="1:14" ht="17.25" customHeight="1">
      <x:c r="A84" s="63"/>
      <x:c r="B84" s="12" t="s">
        <x:v>5</x:v>
      </x:c>
      <x:c r="C84" s="26" t="s">
        <x:v>100</x:v>
      </x:c>
      <x:c r="D84" s="26" t="s">
        <x:v>123</x:v>
      </x:c>
      <x:c r="E84" s="21">
        <x:v>4</x:v>
      </x:c>
      <x:c r="F84" s="24">
        <x:v>4</x:v>
      </x:c>
      <x:c r="G84" s="27"/>
      <x:c r="H84" s="27"/>
      <x:c r="I84" s="21"/>
      <x:c r="J84" s="21"/>
      <x:c r="K84" s="23"/>
      <x:c r="L84" s="52"/>
      <x:c r="M84" s="52"/>
      <x:c r="N84" s="69"/>
    </x:row>
    <x:row r="85" spans="1:14" ht="17.25" customHeight="1">
      <x:c r="A85" s="63"/>
      <x:c r="B85" s="55" t="s">
        <x:v>1</x:v>
      </x:c>
      <x:c r="C85" s="26" t="s">
        <x:v>60</x:v>
      </x:c>
      <x:c r="D85" s="26" t="s">
        <x:v>10</x:v>
      </x:c>
      <x:c r="E85" s="21">
        <x:v>3</x:v>
      </x:c>
      <x:c r="F85" s="24">
        <x:v>3</x:v>
      </x:c>
      <x:c r="G85" s="27"/>
      <x:c r="H85" s="27"/>
      <x:c r="I85" s="21"/>
      <x:c r="J85" s="21"/>
      <x:c r="K85" s="23"/>
      <x:c r="L85" s="56" t="s">
        <x:v>103</x:v>
      </x:c>
      <x:c r="M85" s="52"/>
      <x:c r="N85" s="69"/>
    </x:row>
    <x:row r="86" spans="1:14" ht="17.25" customHeight="1">
      <x:c r="A86" s="63"/>
      <x:c r="B86" s="49"/>
      <x:c r="C86" s="26" t="s">
        <x:v>74</x:v>
      </x:c>
      <x:c r="D86" s="26" t="s">
        <x:v>20</x:v>
      </x:c>
      <x:c r="E86" s="21">
        <x:v>3</x:v>
      </x:c>
      <x:c r="F86" s="24">
        <x:v>3</x:v>
      </x:c>
      <x:c r="G86" s="27"/>
      <x:c r="H86" s="27"/>
      <x:c r="I86" s="21"/>
      <x:c r="J86" s="21"/>
      <x:c r="K86" s="23"/>
      <x:c r="L86" s="52"/>
      <x:c r="M86" s="52"/>
      <x:c r="N86" s="69"/>
    </x:row>
    <x:row r="87" spans="1:14" ht="17.25" customHeight="1">
      <x:c r="A87" s="63"/>
      <x:c r="B87" s="49"/>
      <x:c r="C87" s="26" t="s">
        <x:v>75</x:v>
      </x:c>
      <x:c r="D87" s="26" t="s">
        <x:v>20</x:v>
      </x:c>
      <x:c r="E87" s="21">
        <x:v>3</x:v>
      </x:c>
      <x:c r="F87" s="24">
        <x:v>3</x:v>
      </x:c>
      <x:c r="G87" s="27"/>
      <x:c r="H87" s="27"/>
      <x:c r="I87" s="21"/>
      <x:c r="J87" s="21"/>
      <x:c r="K87" s="23"/>
      <x:c r="L87" s="52"/>
      <x:c r="M87" s="52"/>
      <x:c r="N87" s="69"/>
    </x:row>
    <x:row r="88" spans="1:14" ht="17.25" customHeight="1">
      <x:c r="A88" s="63"/>
      <x:c r="B88" s="50"/>
      <x:c r="C88" s="26" t="s">
        <x:v>26</x:v>
      </x:c>
      <x:c r="D88" s="26" t="s">
        <x:v>123</x:v>
      </x:c>
      <x:c r="E88" s="21">
        <x:v>3</x:v>
      </x:c>
      <x:c r="F88" s="24">
        <x:v>3</x:v>
      </x:c>
      <x:c r="G88" s="27"/>
      <x:c r="H88" s="27"/>
      <x:c r="I88" s="21"/>
      <x:c r="J88" s="21"/>
      <x:c r="K88" s="23"/>
      <x:c r="L88" s="52"/>
      <x:c r="M88" s="52"/>
      <x:c r="N88" s="70"/>
    </x:row>
    <x:row r="89" spans="1:18" ht="17.25" customHeight="1">
      <x:c r="A89" s="74" t="s">
        <x:v>118</x:v>
      </x:c>
      <x:c r="B89" s="75"/>
      <x:c r="C89" s="75"/>
      <x:c r="D89" s="75"/>
      <x:c r="E89" s="75"/>
      <x:c r="F89" s="76"/>
      <x:c r="G89" s="28">
        <x:f>G40</x:f>
        <x:v>29</x:v>
      </x:c>
      <x:c r="H89" s="28">
        <x:f>H40</x:f>
        <x:v>29</x:v>
      </x:c>
      <x:c r="I89" s="28">
        <x:f>I40+M41</x:f>
        <x:v>29</x:v>
      </x:c>
      <x:c r="J89" s="28">
        <x:f>J40+M52</x:f>
        <x:v>29</x:v>
      </x:c>
      <x:c r="K89" s="28">
        <x:f>K40+M64</x:f>
        <x:v>29</x:v>
      </x:c>
      <x:c r="L89" s="28">
        <x:f>L40+M77</x:f>
        <x:v>29</x:v>
      </x:c>
      <x:c r="M89" s="21">
        <x:f>SUM(M40:M88)</x:f>
        <x:v>174</x:v>
      </x:c>
      <x:c r="N89" s="29"/>
      <x:c r="R89" s="30"/>
    </x:row>
    <x:row r="90" spans="1:18" ht="17.25" customHeight="1">
      <x:c r="A90" s="77" t="s">
        <x:v>111</x:v>
      </x:c>
      <x:c r="B90" s="78"/>
      <x:c r="C90" s="78"/>
      <x:c r="D90" s="78"/>
      <x:c r="E90" s="78"/>
      <x:c r="F90" s="79"/>
      <x:c r="G90" s="21">
        <x:v>3</x:v>
      </x:c>
      <x:c r="H90" s="21">
        <x:v>3</x:v>
      </x:c>
      <x:c r="I90" s="21">
        <x:v>3</x:v>
      </x:c>
      <x:c r="J90" s="21">
        <x:v>3</x:v>
      </x:c>
      <x:c r="K90" s="21">
        <x:v>3</x:v>
      </x:c>
      <x:c r="L90" s="21">
        <x:v>3</x:v>
      </x:c>
      <x:c r="M90" s="21">
        <x:f t="shared" ref="M90:M91" si="1">SUM(G90:L90)</x:f>
        <x:v>18</x:v>
      </x:c>
      <x:c r="N90" s="29"/>
      <x:c r="R90" s="30"/>
    </x:row>
    <x:row r="91" spans="1:14" ht="17.25" customHeight="1">
      <x:c r="A91" s="77" t="s">
        <x:v>107</x:v>
      </x:c>
      <x:c r="B91" s="78"/>
      <x:c r="C91" s="78"/>
      <x:c r="D91" s="78"/>
      <x:c r="E91" s="78"/>
      <x:c r="F91" s="79"/>
      <x:c r="G91" s="31">
        <x:f>SUM(G89:G90)</x:f>
        <x:v>32</x:v>
      </x:c>
      <x:c r="H91" s="31">
        <x:f t="shared" ref="H91:L91" si="2">SUM(H89:H90)</x:f>
        <x:v>32</x:v>
      </x:c>
      <x:c r="I91" s="31">
        <x:f t="shared" si="2"/>
        <x:v>32</x:v>
      </x:c>
      <x:c r="J91" s="31">
        <x:f t="shared" si="2"/>
        <x:v>32</x:v>
      </x:c>
      <x:c r="K91" s="31">
        <x:f t="shared" si="2"/>
        <x:v>32</x:v>
      </x:c>
      <x:c r="L91" s="31">
        <x:f t="shared" si="2"/>
        <x:v>32</x:v>
      </x:c>
      <x:c r="M91" s="21">
        <x:f t="shared" si="1"/>
        <x:v>192</x:v>
      </x:c>
      <x:c r="N91" s="29"/>
    </x:row>
    <x:row r="92" spans="1:14" ht="17.25" customHeight="1">
      <x:c r="A92" s="80" t="s">
        <x:v>110</x:v>
      </x:c>
      <x:c r="B92" s="81"/>
      <x:c r="C92" s="81"/>
      <x:c r="D92" s="81"/>
      <x:c r="E92" s="81"/>
      <x:c r="F92" s="82"/>
      <x:c r="G92" s="15">
        <x:v>10</x:v>
      </x:c>
      <x:c r="H92" s="15">
        <x:v>9</x:v>
      </x:c>
      <x:c r="I92" s="15">
        <x:v>9</x:v>
      </x:c>
      <x:c r="J92" s="15">
        <x:v>9</x:v>
      </x:c>
      <x:c r="K92" s="15">
        <x:v>10</x:v>
      </x:c>
      <x:c r="L92" s="15">
        <x:v>9</x:v>
      </x:c>
      <x:c r="M92" s="21">
        <x:f>SUM(G92:L92)</x:f>
        <x:v>56</x:v>
      </x:c>
      <x:c r="N92" s="29"/>
    </x:row>
  </x:sheetData>
  <x:mergeCells count="79">
    <x:mergeCell ref="A1:N1"/>
    <x:mergeCell ref="I2:N2"/>
    <x:mergeCell ref="A3:A5"/>
    <x:mergeCell ref="B3:B5"/>
    <x:mergeCell ref="C3:C5"/>
    <x:mergeCell ref="D3:D5"/>
    <x:mergeCell ref="E3:E5"/>
    <x:mergeCell ref="F3:F5"/>
    <x:mergeCell ref="G3:H3"/>
    <x:mergeCell ref="I3:J3"/>
    <x:mergeCell ref="K3:L3"/>
    <x:mergeCell ref="M3:M5"/>
    <x:mergeCell ref="N3:N5"/>
    <x:mergeCell ref="G4:G5"/>
    <x:mergeCell ref="H4:H5"/>
    <x:mergeCell ref="I4:I5"/>
    <x:mergeCell ref="J4:J5"/>
    <x:mergeCell ref="K4:K5"/>
    <x:mergeCell ref="L4:L5"/>
    <x:mergeCell ref="A6:A39"/>
    <x:mergeCell ref="B6:B10"/>
    <x:mergeCell ref="M6:M10"/>
    <x:mergeCell ref="N6:N10"/>
    <x:mergeCell ref="B11:B15"/>
    <x:mergeCell ref="M11:M15"/>
    <x:mergeCell ref="N11:N15"/>
    <x:mergeCell ref="B16:B19"/>
    <x:mergeCell ref="M16:M19"/>
    <x:mergeCell ref="N16:N19"/>
    <x:mergeCell ref="B20:B24"/>
    <x:mergeCell ref="M20:M21"/>
    <x:mergeCell ref="N20:N21"/>
    <x:mergeCell ref="M22:M24"/>
    <x:mergeCell ref="N22:N24"/>
    <x:mergeCell ref="B25:B29"/>
    <x:mergeCell ref="M25:M29"/>
    <x:mergeCell ref="N25:N29"/>
    <x:mergeCell ref="B30:B35"/>
    <x:mergeCell ref="M30:M35"/>
    <x:mergeCell ref="N30:N35"/>
    <x:mergeCell ref="B36:B37"/>
    <x:mergeCell ref="M36:M37"/>
    <x:mergeCell ref="N36:N37"/>
    <x:mergeCell ref="B38:B39"/>
    <x:mergeCell ref="M38:M39"/>
    <x:mergeCell ref="N38:N39"/>
    <x:mergeCell ref="B40:F40"/>
    <x:mergeCell ref="A41:A88"/>
    <x:mergeCell ref="I41:I51"/>
    <x:mergeCell ref="M41:M51"/>
    <x:mergeCell ref="N41:N51"/>
    <x:mergeCell ref="B44:B45"/>
    <x:mergeCell ref="B46:B51"/>
    <x:mergeCell ref="J52:J60"/>
    <x:mergeCell ref="M52:M63"/>
    <x:mergeCell ref="N52:N63"/>
    <x:mergeCell ref="B54:B56"/>
    <x:mergeCell ref="B57:B60"/>
    <x:mergeCell ref="B61:B63"/>
    <x:mergeCell ref="J61:J63"/>
    <x:mergeCell ref="K64:K71"/>
    <x:mergeCell ref="M64:M76"/>
    <x:mergeCell ref="N64:N76"/>
    <x:mergeCell ref="B67:B68"/>
    <x:mergeCell ref="B69:B71"/>
    <x:mergeCell ref="K72:K74"/>
    <x:mergeCell ref="B75:B78"/>
    <x:mergeCell ref="K75:K76"/>
    <x:mergeCell ref="L77:L78"/>
    <x:mergeCell ref="M77:M88"/>
    <x:mergeCell ref="N77:N88"/>
    <x:mergeCell ref="L79:L84"/>
    <x:mergeCell ref="B82:B83"/>
    <x:mergeCell ref="B85:B88"/>
    <x:mergeCell ref="L85:L88"/>
    <x:mergeCell ref="A89:F89"/>
    <x:mergeCell ref="A90:F90"/>
    <x:mergeCell ref="A91:F91"/>
    <x:mergeCell ref="A92:F92"/>
  </x:mergeCells>
  <x:pageMargins left="0.69972223043441772461" right="0.69972223043441772461" top="0.75" bottom="0.75" header="0.30000001192092895508" footer="0.30000001192092895508"/>
  <x:pageSetup paperSize="9" scale="86" firstPageNumber="1" fitToWidth="1" fitToHeight="0" orientation="portrait" usePrinterDefaults="1" blackAndWhite="0" draft="0" useFirstPageNumber="0" horizontalDpi="4294967295" verticalDpi="4294967295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양식(일반고,자율고,특목고)</vt:lpstr>
    </vt:vector>
  </ep:TitlesOfParts>
  <ep:TotalTime>2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X-Note</dc:creator>
  <cp:lastModifiedBy>X-Note</cp:lastModifiedBy>
  <cp:revision>2</cp:revision>
  <dcterms:created xsi:type="dcterms:W3CDTF">2025-10-14T13:15:12.886</dcterms:created>
  <dcterms:modified xsi:type="dcterms:W3CDTF">2025-12-14T05:16:07.839</dcterms:modified>
  <cp:version>1200.0100.01</cp:version>
</cp:coreProperties>
</file>