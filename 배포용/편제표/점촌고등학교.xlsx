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8800" windowHeight="12255"/>
  </bookViews>
  <sheets>
    <sheet name="2025입학생 3개년 교육과정 편성표_9.12" sheetId="1" r:id="rId1"/>
  </sheets>
  <externalReferences>
    <externalReference r:id="rId2"/>
  </externalReferences>
  <definedNames>
    <definedName name="_xlnm.Print_Area" localSheetId="0">'2025입학생 3개년 교육과정 편성표_9.12'!$B$1:$N$107</definedName>
    <definedName name="새이르" localSheetId="0">'[1]교원 현황'!#REF!</definedName>
    <definedName name="새이르">'[1]교원 현황'!#REF!</definedName>
    <definedName name="전입일" localSheetId="0">'[1]교원 현황'!#REF!</definedName>
    <definedName name="전입일">'[1]교원 현황'!#REF!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M105" i="1" l="1"/>
  <c r="L106" i="1"/>
  <c r="K106" i="1"/>
  <c r="J106" i="1"/>
  <c r="I106" i="1"/>
  <c r="H106" i="1"/>
  <c r="R38" i="1"/>
  <c r="N39" i="1"/>
  <c r="L39" i="1"/>
  <c r="K39" i="1"/>
  <c r="J39" i="1"/>
  <c r="I39" i="1"/>
  <c r="H39" i="1"/>
  <c r="M37" i="1"/>
  <c r="M35" i="1"/>
  <c r="M29" i="1"/>
  <c r="R37" i="1" s="1"/>
  <c r="M25" i="1"/>
  <c r="M23" i="1"/>
  <c r="M21" i="1"/>
  <c r="M16" i="1"/>
  <c r="M11" i="1"/>
  <c r="M6" i="1"/>
  <c r="K107" i="1" l="1"/>
  <c r="M104" i="1"/>
  <c r="R39" i="1"/>
  <c r="M39" i="1"/>
  <c r="I107" i="1"/>
  <c r="G106" i="1"/>
  <c r="M106" i="1" l="1"/>
  <c r="G107" i="1"/>
  <c r="M107" i="1" s="1"/>
</calcChain>
</file>

<file path=xl/sharedStrings.xml><?xml version="1.0" encoding="utf-8"?>
<sst xmlns="http://schemas.openxmlformats.org/spreadsheetml/2006/main" count="270" uniqueCount="152">
  <si>
    <t>점촌고등학교</t>
    <phoneticPr fontId="4" type="noConversion"/>
  </si>
  <si>
    <t>교과(군)</t>
  </si>
  <si>
    <t>과목</t>
    <phoneticPr fontId="4" type="noConversion"/>
  </si>
  <si>
    <t>과목유형</t>
    <phoneticPr fontId="4" type="noConversion"/>
  </si>
  <si>
    <t>1학년</t>
  </si>
  <si>
    <t>2학년</t>
  </si>
  <si>
    <t>3학년</t>
  </si>
  <si>
    <t>이수
학점</t>
    <phoneticPr fontId="4" type="noConversion"/>
  </si>
  <si>
    <t>필수
학점</t>
    <phoneticPr fontId="4" type="noConversion"/>
  </si>
  <si>
    <t>1학기</t>
  </si>
  <si>
    <t>2학기</t>
  </si>
  <si>
    <t>국 어</t>
  </si>
  <si>
    <t>공통국어1</t>
    <phoneticPr fontId="4" type="noConversion"/>
  </si>
  <si>
    <t>공통</t>
  </si>
  <si>
    <t>공통국어2</t>
    <phoneticPr fontId="4" type="noConversion"/>
  </si>
  <si>
    <t>공통</t>
    <phoneticPr fontId="4" type="noConversion"/>
  </si>
  <si>
    <t>문학</t>
    <phoneticPr fontId="4" type="noConversion"/>
  </si>
  <si>
    <t>일반</t>
    <phoneticPr fontId="4" type="noConversion"/>
  </si>
  <si>
    <t>화법과 언어</t>
    <phoneticPr fontId="4" type="noConversion"/>
  </si>
  <si>
    <t>독서와 작문</t>
    <phoneticPr fontId="4" type="noConversion"/>
  </si>
  <si>
    <t>일반</t>
  </si>
  <si>
    <t>수 학</t>
  </si>
  <si>
    <t>공통수학1</t>
    <phoneticPr fontId="4" type="noConversion"/>
  </si>
  <si>
    <t>공통수학2</t>
    <phoneticPr fontId="4" type="noConversion"/>
  </si>
  <si>
    <t>대수</t>
    <phoneticPr fontId="4" type="noConversion"/>
  </si>
  <si>
    <t>미적분Ⅰ</t>
    <phoneticPr fontId="4" type="noConversion"/>
  </si>
  <si>
    <t>인공지능 수학</t>
    <phoneticPr fontId="4" type="noConversion"/>
  </si>
  <si>
    <t>진로</t>
    <phoneticPr fontId="3" type="noConversion"/>
  </si>
  <si>
    <t>영 어</t>
  </si>
  <si>
    <t>공통영어1</t>
    <phoneticPr fontId="4" type="noConversion"/>
  </si>
  <si>
    <t>공통영어2</t>
    <phoneticPr fontId="4" type="noConversion"/>
  </si>
  <si>
    <t>영어Ⅰ</t>
    <phoneticPr fontId="4" type="noConversion"/>
  </si>
  <si>
    <t>영어Ⅱ</t>
    <phoneticPr fontId="4" type="noConversion"/>
  </si>
  <si>
    <t>심화 영어</t>
    <phoneticPr fontId="4" type="noConversion"/>
  </si>
  <si>
    <t>진로</t>
    <phoneticPr fontId="4" type="noConversion"/>
  </si>
  <si>
    <t>사회</t>
    <phoneticPr fontId="4" type="noConversion"/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</si>
  <si>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</si>
  <si>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</si>
  <si>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</si>
  <si>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  <phoneticPr fontId="4" type="noConversion"/>
  </si>
  <si>
    <t>과 학</t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</si>
  <si>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</si>
  <si>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</si>
  <si>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</si>
  <si>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과학탐구실험2</t>
    <phoneticPr fontId="4" type="noConversion"/>
  </si>
  <si>
    <t>체 육</t>
  </si>
  <si>
    <t>체육1</t>
    <phoneticPr fontId="4" type="noConversion"/>
  </si>
  <si>
    <t>체육2</t>
    <phoneticPr fontId="4" type="noConversion"/>
  </si>
  <si>
    <t>스포츠 문화</t>
  </si>
  <si>
    <t>스포츠 과학</t>
  </si>
  <si>
    <t>스포츠 생활1</t>
    <phoneticPr fontId="4" type="noConversion"/>
  </si>
  <si>
    <t>융합</t>
    <phoneticPr fontId="4" type="noConversion"/>
  </si>
  <si>
    <t>스포츠 생활2</t>
    <phoneticPr fontId="4" type="noConversion"/>
  </si>
  <si>
    <t>기술·가정/정보</t>
    <phoneticPr fontId="4" type="noConversion"/>
  </si>
  <si>
    <t>기술·가정</t>
    <phoneticPr fontId="4" type="noConversion"/>
  </si>
  <si>
    <t>생활과학 탐구</t>
    <phoneticPr fontId="4" type="noConversion"/>
  </si>
  <si>
    <t>교과군</t>
    <phoneticPr fontId="4" type="noConversion"/>
  </si>
  <si>
    <t>필수학점</t>
    <phoneticPr fontId="4" type="noConversion"/>
  </si>
  <si>
    <t>운영학점</t>
    <phoneticPr fontId="4" type="noConversion"/>
  </si>
  <si>
    <t>교양</t>
    <phoneticPr fontId="4" type="noConversion"/>
  </si>
  <si>
    <t>진로와 직업</t>
    <phoneticPr fontId="4" type="noConversion"/>
  </si>
  <si>
    <t>체육</t>
    <phoneticPr fontId="4" type="noConversion"/>
  </si>
  <si>
    <t>생태와 환경</t>
    <phoneticPr fontId="4" type="noConversion"/>
  </si>
  <si>
    <t>예술</t>
    <phoneticPr fontId="4" type="noConversion"/>
  </si>
  <si>
    <t>기가/교양</t>
    <phoneticPr fontId="4" type="noConversion"/>
  </si>
  <si>
    <t>수학</t>
    <phoneticPr fontId="4" type="noConversion"/>
  </si>
  <si>
    <t>일반</t>
    <phoneticPr fontId="3" type="noConversion"/>
  </si>
  <si>
    <t>융합</t>
    <phoneticPr fontId="3" type="noConversion"/>
  </si>
  <si>
    <t>교과 이수 학점 소계</t>
    <phoneticPr fontId="4" type="noConversion"/>
  </si>
  <si>
    <t>창의적 체험활동</t>
  </si>
  <si>
    <t>학기별 총 이수 학점</t>
    <phoneticPr fontId="4" type="noConversion"/>
  </si>
  <si>
    <t>학년별 총 이수 학점</t>
    <phoneticPr fontId="4" type="noConversion"/>
  </si>
  <si>
    <t>학교
지정</t>
    <phoneticPr fontId="3" type="noConversion"/>
  </si>
  <si>
    <t>구분</t>
  </si>
  <si>
    <t>기본
학점</t>
    <phoneticPr fontId="4" type="noConversion"/>
  </si>
  <si>
    <t>편성
학점</t>
    <phoneticPr fontId="4" type="noConversion"/>
  </si>
  <si>
    <t>학교 지정 교과 이수 학점 소계</t>
    <phoneticPr fontId="4" type="noConversion"/>
  </si>
  <si>
    <t>학생
선택</t>
    <phoneticPr fontId="3" type="noConversion"/>
  </si>
  <si>
    <t>수학</t>
    <phoneticPr fontId="3" type="noConversion"/>
  </si>
  <si>
    <t>기하</t>
    <phoneticPr fontId="3" type="noConversion"/>
  </si>
  <si>
    <t>확률과 통계</t>
    <phoneticPr fontId="4" type="noConversion"/>
  </si>
  <si>
    <t>주제 탐구 독서</t>
    <phoneticPr fontId="3" type="noConversion"/>
  </si>
  <si>
    <t>국어</t>
    <phoneticPr fontId="3" type="noConversion"/>
  </si>
  <si>
    <t>영어</t>
    <phoneticPr fontId="3" type="noConversion"/>
  </si>
  <si>
    <t>진로</t>
    <phoneticPr fontId="3" type="noConversion"/>
  </si>
  <si>
    <t>영어 독해와 작문</t>
    <phoneticPr fontId="3" type="noConversion"/>
  </si>
  <si>
    <t>택1(4)
4</t>
    <phoneticPr fontId="3" type="noConversion"/>
  </si>
  <si>
    <t>사회</t>
    <phoneticPr fontId="3" type="noConversion"/>
  </si>
  <si>
    <t>사회와 문화</t>
    <phoneticPr fontId="3" type="noConversion"/>
  </si>
  <si>
    <t>세계사</t>
    <phoneticPr fontId="3" type="noConversion"/>
  </si>
  <si>
    <t>윤리와 사상</t>
    <phoneticPr fontId="3" type="noConversion"/>
  </si>
  <si>
    <t>과학</t>
    <phoneticPr fontId="3" type="noConversion"/>
  </si>
  <si>
    <t>물리학</t>
    <phoneticPr fontId="3" type="noConversion"/>
  </si>
  <si>
    <t>화학</t>
    <phoneticPr fontId="3" type="noConversion"/>
  </si>
  <si>
    <t>생명과학</t>
    <phoneticPr fontId="3" type="noConversion"/>
  </si>
  <si>
    <t>지구과학</t>
    <phoneticPr fontId="4" type="noConversion"/>
  </si>
  <si>
    <t>세계시민과 지리</t>
    <phoneticPr fontId="4" type="noConversion"/>
  </si>
  <si>
    <t>택3
(3)
9</t>
    <phoneticPr fontId="3" type="noConversion"/>
  </si>
  <si>
    <t>확률과 통계</t>
    <phoneticPr fontId="3" type="noConversion"/>
  </si>
  <si>
    <t>영어 발표와 토론</t>
    <phoneticPr fontId="3" type="noConversion"/>
  </si>
  <si>
    <t>독서 토론과 글쓰기</t>
    <phoneticPr fontId="4" type="noConversion"/>
  </si>
  <si>
    <t>영어</t>
    <phoneticPr fontId="3" type="noConversion"/>
  </si>
  <si>
    <t>택2
(4)
8</t>
    <phoneticPr fontId="3" type="noConversion"/>
  </si>
  <si>
    <t>법과 사회</t>
    <phoneticPr fontId="3" type="noConversion"/>
  </si>
  <si>
    <t>동아시아사 역사 기행</t>
    <phoneticPr fontId="3" type="noConversion"/>
  </si>
  <si>
    <t>현대사회와 윤리</t>
    <phoneticPr fontId="3" type="noConversion"/>
  </si>
  <si>
    <t>역학과 에너지</t>
    <phoneticPr fontId="3" type="noConversion"/>
  </si>
  <si>
    <t>물질과 에너지</t>
    <phoneticPr fontId="3" type="noConversion"/>
  </si>
  <si>
    <t>세포와 물질대사</t>
    <phoneticPr fontId="3" type="noConversion"/>
  </si>
  <si>
    <t>도시의 미래 탐구</t>
    <phoneticPr fontId="4" type="noConversion"/>
  </si>
  <si>
    <t>미적분Ⅱ</t>
  </si>
  <si>
    <t>경제수학</t>
    <phoneticPr fontId="4" type="noConversion"/>
  </si>
  <si>
    <t>택1(3)
3</t>
    <phoneticPr fontId="3" type="noConversion"/>
  </si>
  <si>
    <t>인문학과 윤리</t>
    <phoneticPr fontId="3" type="noConversion"/>
  </si>
  <si>
    <t>경제</t>
    <phoneticPr fontId="4" type="noConversion"/>
  </si>
  <si>
    <t>한국지리 탐구</t>
    <phoneticPr fontId="3" type="noConversion"/>
  </si>
  <si>
    <t>전자기와 양자</t>
    <phoneticPr fontId="3" type="noConversion"/>
  </si>
  <si>
    <t>화학 반응의 세계</t>
    <phoneticPr fontId="3" type="noConversion"/>
  </si>
  <si>
    <t>생물의 유전</t>
    <phoneticPr fontId="3" type="noConversion"/>
  </si>
  <si>
    <t>행성우주과학</t>
    <phoneticPr fontId="3" type="noConversion"/>
  </si>
  <si>
    <t>언어생활 탐구</t>
    <phoneticPr fontId="3" type="noConversion"/>
  </si>
  <si>
    <t>실용통계</t>
    <phoneticPr fontId="3" type="noConversion"/>
  </si>
  <si>
    <t>세계 문화와 영어</t>
    <phoneticPr fontId="3" type="noConversion"/>
  </si>
  <si>
    <t>매체 의사소통</t>
    <phoneticPr fontId="3" type="noConversion"/>
  </si>
  <si>
    <t>택2
(3)
6</t>
    <phoneticPr fontId="3" type="noConversion"/>
  </si>
  <si>
    <t>사회문제 탐구</t>
    <phoneticPr fontId="3" type="noConversion"/>
  </si>
  <si>
    <t>윤리문제 탐구</t>
    <phoneticPr fontId="3" type="noConversion"/>
  </si>
  <si>
    <t>여행지리</t>
    <phoneticPr fontId="3" type="noConversion"/>
  </si>
  <si>
    <t>과학의 역사와 문화</t>
    <phoneticPr fontId="3" type="noConversion"/>
  </si>
  <si>
    <t>기후변화와 환경생태</t>
    <phoneticPr fontId="3" type="noConversion"/>
  </si>
  <si>
    <t>융합과학 탐구</t>
    <phoneticPr fontId="4" type="noConversion"/>
  </si>
  <si>
    <t>국제 관계의 이해</t>
    <phoneticPr fontId="3" type="noConversion"/>
  </si>
  <si>
    <t>음악</t>
    <phoneticPr fontId="4" type="noConversion"/>
  </si>
  <si>
    <t>미술</t>
    <phoneticPr fontId="3" type="noConversion"/>
  </si>
  <si>
    <t>음악</t>
    <phoneticPr fontId="3" type="noConversion"/>
  </si>
  <si>
    <t>미술</t>
    <phoneticPr fontId="4" type="noConversion"/>
  </si>
  <si>
    <t>택1(2)
2</t>
    <phoneticPr fontId="3" type="noConversion"/>
  </si>
  <si>
    <t>미술 창작</t>
    <phoneticPr fontId="3" type="noConversion"/>
  </si>
  <si>
    <t>음악연주와 창작</t>
    <phoneticPr fontId="3" type="noConversion"/>
  </si>
  <si>
    <t>음악연주와 창작</t>
    <phoneticPr fontId="4" type="noConversion"/>
  </si>
  <si>
    <t>논리와 사고</t>
    <phoneticPr fontId="4" type="noConversion"/>
  </si>
  <si>
    <t>인간과 심리</t>
    <phoneticPr fontId="3" type="noConversion"/>
  </si>
  <si>
    <t>교육의 이해</t>
    <phoneticPr fontId="3" type="noConversion"/>
  </si>
  <si>
    <t>보건</t>
    <phoneticPr fontId="3" type="noConversion"/>
  </si>
  <si>
    <t>인간과 경제활동</t>
    <phoneticPr fontId="3" type="noConversion"/>
  </si>
  <si>
    <t>일반</t>
    <phoneticPr fontId="3" type="noConversion"/>
  </si>
  <si>
    <t>융합</t>
    <phoneticPr fontId="3" type="noConversion"/>
  </si>
  <si>
    <t>역사로 탐구하는 현대 세계</t>
    <phoneticPr fontId="4" type="noConversion"/>
  </si>
  <si>
    <t>2026학년도 입학생 3개년 교육과정 편성표</t>
    <phoneticPr fontId="4" type="noConversion"/>
  </si>
  <si>
    <t>수학과제 탐구</t>
    <phoneticPr fontId="3" type="noConversion"/>
  </si>
  <si>
    <t>지구시스템과학</t>
    <phoneticPr fontId="4" type="noConversion"/>
  </si>
  <si>
    <t>심화 영어 독해와 작문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</si>
</sst>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_ "/>
  </numFmts>
  <fonts count="23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/>
    <xf numFmtId="0" fontId="6" fillId="0" borderId="0" xfId="1" applyNumberFormat="1" applyFont="1"/>
    <xf numFmtId="0" fontId="1" fillId="0" borderId="0" xfId="1" applyNumberFormat="1"/>
    <xf numFmtId="0" fontId="7" fillId="0" borderId="0" xfId="1" applyNumberFormat="1" applyFont="1" applyFill="1" applyBorder="1" applyAlignment="1" applyProtection="1">
      <alignment horizontal="left"/>
    </xf>
    <xf numFmtId="0" fontId="11" fillId="0" borderId="1" xfId="1" applyNumberFormat="1" applyFont="1" applyFill="1" applyBorder="1" applyAlignment="1" applyProtection="1">
      <alignment horizontal="center" vertical="center"/>
    </xf>
    <xf numFmtId="0" fontId="9" fillId="0" borderId="1" xfId="1" applyNumberFormat="1" applyFont="1" applyFill="1" applyBorder="1" applyAlignment="1" applyProtection="1">
      <alignment horizontal="center" vertical="center"/>
    </xf>
    <xf numFmtId="0" fontId="12" fillId="0" borderId="0" xfId="1" applyNumberFormat="1" applyFont="1"/>
    <xf numFmtId="0" fontId="10" fillId="0" borderId="1" xfId="1" applyNumberFormat="1" applyFont="1" applyFill="1" applyBorder="1" applyAlignment="1" applyProtection="1">
      <alignment horizontal="center" vertical="center" wrapText="1"/>
    </xf>
    <xf numFmtId="0" fontId="6" fillId="0" borderId="4" xfId="1" applyNumberFormat="1" applyFont="1" applyBorder="1"/>
    <xf numFmtId="0" fontId="6" fillId="0" borderId="5" xfId="1" applyNumberFormat="1" applyFont="1" applyBorder="1"/>
    <xf numFmtId="0" fontId="6" fillId="0" borderId="6" xfId="1" applyNumberFormat="1" applyFont="1" applyBorder="1"/>
    <xf numFmtId="0" fontId="11" fillId="0" borderId="8" xfId="1" applyNumberFormat="1" applyFont="1" applyFill="1" applyBorder="1" applyAlignment="1" applyProtection="1">
      <alignment horizontal="center" vertical="center"/>
    </xf>
    <xf numFmtId="0" fontId="9" fillId="0" borderId="8" xfId="1" applyNumberFormat="1" applyFont="1" applyFill="1" applyBorder="1" applyAlignment="1" applyProtection="1">
      <alignment horizontal="center" vertical="center"/>
    </xf>
    <xf numFmtId="0" fontId="11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/>
    </xf>
    <xf numFmtId="0" fontId="6" fillId="0" borderId="0" xfId="1" applyNumberFormat="1" applyFont="1" applyAlignment="1"/>
    <xf numFmtId="0" fontId="13" fillId="0" borderId="1" xfId="1" quotePrefix="1" applyNumberFormat="1" applyFont="1" applyFill="1" applyBorder="1" applyAlignment="1" applyProtection="1">
      <alignment horizontal="center" vertical="center"/>
    </xf>
    <xf numFmtId="0" fontId="16" fillId="0" borderId="0" xfId="1" applyNumberFormat="1" applyFont="1"/>
    <xf numFmtId="0" fontId="16" fillId="0" borderId="0" xfId="1" applyNumberFormat="1" applyFont="1" applyAlignment="1">
      <alignment horizontal="right"/>
    </xf>
    <xf numFmtId="0" fontId="12" fillId="0" borderId="0" xfId="1" applyNumberFormat="1" applyFont="1" applyAlignment="1">
      <alignment horizontal="right"/>
    </xf>
    <xf numFmtId="0" fontId="15" fillId="0" borderId="1" xfId="1" applyNumberFormat="1" applyFont="1" applyFill="1" applyBorder="1" applyAlignment="1" applyProtection="1">
      <alignment horizontal="center" vertical="center" wrapText="1"/>
    </xf>
    <xf numFmtId="0" fontId="15" fillId="0" borderId="1" xfId="1" applyNumberFormat="1" applyFont="1" applyFill="1" applyBorder="1" applyAlignment="1" applyProtection="1">
      <alignment horizontal="center" vertical="center"/>
    </xf>
    <xf numFmtId="0" fontId="12" fillId="0" borderId="1" xfId="1" applyNumberFormat="1" applyFont="1" applyFill="1" applyBorder="1" applyAlignment="1" applyProtection="1">
      <alignment horizontal="center" vertical="center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14" fillId="0" borderId="0" xfId="1" applyNumberFormat="1" applyFont="1" applyAlignment="1">
      <alignment horizontal="right"/>
    </xf>
    <xf numFmtId="0" fontId="9" fillId="0" borderId="1" xfId="1" applyNumberFormat="1" applyFont="1" applyFill="1" applyBorder="1" applyAlignment="1" applyProtection="1">
      <alignment horizontal="center" vertical="center" wrapText="1"/>
    </xf>
    <xf numFmtId="0" fontId="9" fillId="0" borderId="1" xfId="1" quotePrefix="1" applyNumberFormat="1" applyFont="1" applyFill="1" applyBorder="1" applyAlignment="1" applyProtection="1">
      <alignment horizontal="center" vertical="center"/>
    </xf>
    <xf numFmtId="0" fontId="19" fillId="0" borderId="2" xfId="1" applyNumberFormat="1" applyFont="1" applyFill="1" applyBorder="1" applyAlignment="1" applyProtection="1">
      <alignment horizontal="center" vertical="center" wrapText="1"/>
    </xf>
    <xf numFmtId="0" fontId="22" fillId="0" borderId="1" xfId="1" applyNumberFormat="1" applyFont="1" applyFill="1" applyBorder="1" applyAlignment="1" applyProtection="1">
      <alignment horizontal="center" vertical="center"/>
    </xf>
    <xf numFmtId="0" fontId="11" fillId="0" borderId="8" xfId="1" applyNumberFormat="1" applyFont="1" applyFill="1" applyBorder="1" applyAlignment="1" applyProtection="1">
      <alignment horizontal="center" vertical="center" wrapText="1"/>
    </xf>
    <xf numFmtId="0" fontId="9" fillId="0" borderId="1" xfId="1" applyNumberFormat="1" applyFont="1" applyFill="1" applyBorder="1" applyAlignment="1" applyProtection="1">
      <alignment vertical="center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177" fontId="13" fillId="0" borderId="1" xfId="1" applyNumberFormat="1" applyFont="1" applyFill="1" applyBorder="1" applyAlignment="1" applyProtection="1">
      <alignment horizontal="center" vertical="center" wrapText="1"/>
    </xf>
    <xf numFmtId="176" fontId="9" fillId="0" borderId="1" xfId="1" applyNumberFormat="1" applyFont="1" applyFill="1" applyBorder="1" applyAlignment="1" applyProtection="1">
      <alignment horizontal="center" vertical="center"/>
    </xf>
    <xf numFmtId="0" fontId="11" fillId="3" borderId="1" xfId="1" applyNumberFormat="1" applyFont="1" applyFill="1" applyBorder="1" applyAlignment="1" applyProtection="1">
      <alignment horizontal="center" vertical="center"/>
    </xf>
    <xf numFmtId="0" fontId="20" fillId="0" borderId="1" xfId="1" applyNumberFormat="1" applyFont="1" applyFill="1" applyBorder="1" applyAlignment="1" applyProtection="1">
      <alignment horizontal="center" vertical="center" wrapText="1"/>
    </xf>
    <xf numFmtId="0" fontId="17" fillId="0" borderId="1" xfId="1" applyNumberFormat="1" applyFont="1" applyFill="1" applyBorder="1" applyAlignment="1" applyProtection="1">
      <alignment horizontal="center" vertical="center" wrapText="1"/>
    </xf>
    <xf numFmtId="0" fontId="21" fillId="0" borderId="1" xfId="1" applyNumberFormat="1" applyFont="1" applyFill="1" applyBorder="1" applyAlignment="1" applyProtection="1">
      <alignment horizontal="center" vertical="center" wrapText="1"/>
    </xf>
    <xf numFmtId="0" fontId="18" fillId="0" borderId="1" xfId="1" applyNumberFormat="1" applyFont="1" applyFill="1" applyBorder="1" applyAlignment="1" applyProtection="1">
      <alignment vertical="center" wrapText="1"/>
    </xf>
    <xf numFmtId="0" fontId="6" fillId="0" borderId="1" xfId="1" applyNumberFormat="1" applyFont="1" applyFill="1" applyBorder="1" applyAlignment="1" applyProtection="1">
      <alignment vertical="center" wrapText="1"/>
    </xf>
    <xf numFmtId="0" fontId="12" fillId="0" borderId="1" xfId="1" applyNumberFormat="1" applyFont="1" applyFill="1" applyBorder="1" applyAlignment="1" applyProtection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 wrapText="1"/>
    </xf>
    <xf numFmtId="0" fontId="10" fillId="0" borderId="8" xfId="1" applyNumberFormat="1" applyFont="1" applyFill="1" applyBorder="1" applyAlignment="1" applyProtection="1">
      <alignment horizontal="center" vertical="center" wrapText="1"/>
    </xf>
    <xf numFmtId="0" fontId="9" fillId="0" borderId="8" xfId="1" applyNumberFormat="1" applyFont="1" applyFill="1" applyBorder="1" applyAlignment="1" applyProtection="1">
      <alignment horizontal="center" vertical="center" wrapText="1"/>
    </xf>
    <xf numFmtId="0" fontId="22" fillId="0" borderId="1" xfId="1" applyNumberFormat="1" applyFont="1" applyFill="1" applyBorder="1" applyAlignment="1" applyProtection="1">
      <alignment horizontal="center" vertical="center" wrapText="1"/>
    </xf>
    <xf numFmtId="0" fontId="9" fillId="0" borderId="2" xfId="1" applyNumberFormat="1" applyFont="1" applyFill="1" applyBorder="1" applyAlignment="1" applyProtection="1">
      <alignment horizontal="center" vertical="center"/>
    </xf>
    <xf numFmtId="0" fontId="10" fillId="0" borderId="2" xfId="1" applyNumberFormat="1" applyFont="1" applyFill="1" applyBorder="1" applyAlignment="1" applyProtection="1">
      <alignment horizontal="center" vertical="center"/>
    </xf>
    <xf numFmtId="0" fontId="10" fillId="0" borderId="3" xfId="1" applyNumberFormat="1" applyFont="1" applyFill="1" applyBorder="1" applyAlignment="1" applyProtection="1">
      <alignment horizontal="center" vertical="center"/>
    </xf>
    <xf numFmtId="0" fontId="10" fillId="0" borderId="7" xfId="1" applyNumberFormat="1" applyFont="1" applyFill="1" applyBorder="1" applyAlignment="1" applyProtection="1">
      <alignment horizontal="center" vertical="center"/>
    </xf>
    <xf numFmtId="0" fontId="10" fillId="0" borderId="8" xfId="1" applyNumberFormat="1" applyFont="1" applyFill="1" applyBorder="1" applyAlignment="1" applyProtection="1">
      <alignment horizontal="center" vertical="center"/>
    </xf>
    <xf numFmtId="0" fontId="10" fillId="0" borderId="9" xfId="1" applyNumberFormat="1" applyFont="1" applyFill="1" applyBorder="1" applyAlignment="1" applyProtection="1">
      <alignment horizontal="center" vertical="center"/>
    </xf>
    <xf numFmtId="0" fontId="11" fillId="0" borderId="1" xfId="1" applyNumberFormat="1" applyFont="1" applyFill="1" applyBorder="1" applyAlignment="1" applyProtection="1">
      <alignment horizontal="center" vertical="center" wrapText="1"/>
    </xf>
    <xf numFmtId="0" fontId="11" fillId="0" borderId="1" xfId="1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1" fillId="0" borderId="8" xfId="1" applyNumberFormat="1" applyFont="1" applyFill="1" applyBorder="1" applyAlignment="1" applyProtection="1">
      <alignment horizontal="center" vertical="center" wrapText="1"/>
    </xf>
    <xf numFmtId="0" fontId="10" fillId="0" borderId="1" xfId="1" applyNumberFormat="1" applyFont="1" applyFill="1" applyBorder="1" applyAlignment="1" applyProtection="1">
      <alignment horizontal="center" vertical="center" wrapText="1"/>
    </xf>
    <xf numFmtId="0" fontId="9" fillId="0" borderId="1" xfId="1" applyNumberFormat="1" applyFont="1" applyFill="1" applyBorder="1" applyAlignment="1" applyProtection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 wrapText="1"/>
    </xf>
    <xf numFmtId="0" fontId="10" fillId="0" borderId="1" xfId="1" applyNumberFormat="1" applyFont="1" applyFill="1" applyBorder="1" applyAlignment="1" applyProtection="1">
      <alignment horizontal="center" vertical="center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8" fillId="0" borderId="0" xfId="1" applyNumberFormat="1" applyFont="1" applyFill="1" applyBorder="1" applyAlignment="1" applyProtection="1">
      <alignment horizontal="center"/>
    </xf>
    <xf numFmtId="0" fontId="8" fillId="2" borderId="1" xfId="1" applyNumberFormat="1" applyFont="1" applyFill="1" applyBorder="1" applyAlignment="1" applyProtection="1">
      <alignment horizontal="center" vertical="center"/>
    </xf>
    <xf numFmtId="0" fontId="8" fillId="2" borderId="1" xfId="1" applyNumberFormat="1" applyFont="1" applyFill="1" applyBorder="1" applyAlignment="1" applyProtection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/>
    </xf>
    <xf numFmtId="0" fontId="9" fillId="0" borderId="8" xfId="1" applyNumberFormat="1" applyFont="1" applyFill="1" applyBorder="1" applyAlignment="1" applyProtection="1">
      <alignment horizontal="center" vertical="center" wrapText="1"/>
    </xf>
    <xf numFmtId="0" fontId="9" fillId="0" borderId="1" xfId="1" applyNumberFormat="1" applyFont="1" applyFill="1" applyBorder="1" applyAlignment="1" applyProtection="1">
      <alignment horizontal="center" vertical="center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13" fillId="0" borderId="3" xfId="1" applyNumberFormat="1" applyFont="1" applyFill="1" applyBorder="1" applyAlignment="1" applyProtection="1">
      <alignment horizontal="center" vertical="center" wrapText="1"/>
    </xf>
    <xf numFmtId="0" fontId="13" fillId="0" borderId="8" xfId="1" applyNumberFormat="1" applyFont="1" applyFill="1" applyBorder="1" applyAlignment="1" applyProtection="1">
      <alignment horizontal="center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6" fillId="0" borderId="7" xfId="1" applyNumberFormat="1" applyFont="1" applyFill="1" applyBorder="1" applyAlignment="1" applyProtection="1">
      <alignment horizontal="center" vertical="center"/>
    </xf>
    <xf numFmtId="0" fontId="6" fillId="0" borderId="8" xfId="1" applyNumberFormat="1" applyFont="1" applyFill="1" applyBorder="1" applyAlignment="1" applyProtection="1">
      <alignment horizontal="center" vertical="center"/>
    </xf>
    <xf numFmtId="0" fontId="13" fillId="0" borderId="7" xfId="1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2" xfId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141530</xdr:colOff>
      <xdr:row>0</xdr:row>
      <xdr:rowOff>81531</xdr:rowOff>
    </xdr:from>
    <xdr:to>
      <xdr:col>2</xdr:col>
      <xdr:colOff>744347</xdr:colOff>
      <xdr:row>0</xdr:row>
      <xdr:rowOff>454541</xdr:rowOff>
    </xdr:to>
    <xdr:grpSp>
      <xdr:nvGrpSpPr>
        <xdr:cNvPr id="2" name="그룹 1" hidden="1">
          <a:extLst>
            <a:ext uri="{FF2B5EF4-FFF2-40B4-BE49-F238E27FC236}">
              <a16:creationId xmlns:a16="http://schemas.microsoft.com/office/drawing/2014/main" id="{5BB2F40F-5814-46C5-A785-E01992B6A29E}"/>
            </a:ext>
          </a:extLst>
        </xdr:cNvPr>
        <xdr:cNvGrpSpPr/>
      </xdr:nvGrpSpPr>
      <xdr:grpSpPr>
        <a:xfrm>
          <a:off x="1227380" y="81531"/>
          <a:ext cx="602817" cy="373010"/>
          <a:chOff x="14748344" y="5548312"/>
          <a:chExt cx="599865" cy="384503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56A7415-2877-4814-BA44-5E9CB315AFC1}"/>
              </a:ext>
            </a:extLst>
          </xdr:cNvPr>
          <xdr:cNvSpPr/>
        </xdr:nvSpPr>
        <xdr:spPr>
          <a:xfrm>
            <a:off x="14754297" y="5548313"/>
            <a:ext cx="593912" cy="384502"/>
          </a:xfrm>
          <a:prstGeom prst="rect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l"/>
            <a:r>
              <a:rPr lang="en-US" altLang="ko-KR" sz="2400" b="1">
                <a:solidFill>
                  <a:schemeClr val="tx2"/>
                </a:solidFill>
              </a:rPr>
              <a:t> </a:t>
            </a:r>
            <a:r>
              <a:rPr lang="en-US" altLang="ko-KR" sz="2400" b="1" baseline="0">
                <a:solidFill>
                  <a:schemeClr val="tx2"/>
                </a:solidFill>
              </a:rPr>
              <a:t> </a:t>
            </a:r>
            <a:r>
              <a:rPr lang="en-US" altLang="ko-KR" sz="2000" b="1" baseline="0">
                <a:solidFill>
                  <a:schemeClr val="tx2"/>
                </a:solidFill>
              </a:rPr>
              <a:t>1</a:t>
            </a:r>
            <a:r>
              <a:rPr lang="ko-KR" altLang="en-US" sz="1600" b="1">
                <a:solidFill>
                  <a:schemeClr val="tx2"/>
                </a:solidFill>
              </a:rPr>
              <a:t>안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D73586A-4609-4D35-9E15-392CBF7353EC}"/>
              </a:ext>
            </a:extLst>
          </xdr:cNvPr>
          <xdr:cNvSpPr/>
        </xdr:nvSpPr>
        <xdr:spPr>
          <a:xfrm>
            <a:off x="14748344" y="5548312"/>
            <a:ext cx="80891" cy="384502"/>
          </a:xfrm>
          <a:prstGeom prst="rect">
            <a:avLst/>
          </a:prstGeom>
          <a:solidFill>
            <a:schemeClr val="tx2"/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600" b="1">
              <a:solidFill>
                <a:schemeClr val="tx2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ed2ddf625bed6bc/8_Work/1_&#44368;&#47924;&#44592;&#54925;&#48512;/7.&#54617;&#44368;&#51221;&#48372;/1.&#44368;&#51649;&#50896;/2024%20&#44368;&#51649;&#50896;%20&#47749;&#47148;%5e0&#50672;&#46973;&#52376;_03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직원 명렬&amp;연락처"/>
      <sheetName val="교원 현황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F117"/>
  <sheetViews>
    <sheetView showGridLines="0" tabSelected="1" zoomScaleNormal="100" workbookViewId="0">
      <selection activeCell="H22" sqref="H22"/>
    </sheetView>
  </sheetViews>
  <sheetFormatPr defaultColWidth="10" defaultRowHeight="13.5"/>
  <cols>
    <col min="1" max="1" width="5.75" style="4" customWidth="1"/>
    <col min="2" max="2" width="8.5" style="4" customWidth="1"/>
    <col min="3" max="3" width="49.375" style="4" customWidth="1"/>
    <col min="4" max="4" width="7.5" style="4" customWidth="1"/>
    <col min="5" max="12" width="5.375" style="4" customWidth="1"/>
    <col min="13" max="13" width="6.625" style="4" customWidth="1"/>
    <col min="14" max="14" width="7.25" style="4" customWidth="1"/>
    <col min="15" max="15" width="10" style="4"/>
    <col min="16" max="16" width="9.375" style="2" hidden="1" customWidth="1"/>
    <col min="17" max="19" width="8.75" style="2" hidden="1" customWidth="1"/>
    <col min="20" max="20" width="12.25" style="2" customWidth="1"/>
    <col min="21" max="22" width="8.75" style="2" customWidth="1"/>
    <col min="23" max="24" width="9.375" style="2" customWidth="1"/>
    <col min="25" max="29" width="10" style="2"/>
    <col min="30" max="16384" width="10" style="4"/>
  </cols>
  <sheetData>
    <row r="1" spans="1:32" ht="39.75" customHeight="1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1"/>
      <c r="V1" s="3"/>
      <c r="W1" s="3"/>
      <c r="X1" s="3"/>
      <c r="Y1" s="3"/>
      <c r="Z1" s="3"/>
      <c r="AA1" s="3"/>
    </row>
    <row r="2" spans="1:32" ht="17.25">
      <c r="B2" s="5"/>
      <c r="C2" s="5"/>
      <c r="D2" s="5"/>
      <c r="E2" s="5"/>
      <c r="F2" s="5"/>
      <c r="G2" s="5"/>
      <c r="H2" s="5"/>
      <c r="I2" s="64" t="s">
        <v>0</v>
      </c>
      <c r="J2" s="64"/>
      <c r="K2" s="64"/>
      <c r="L2" s="64"/>
      <c r="M2" s="64"/>
      <c r="N2" s="64"/>
      <c r="V2" s="3"/>
      <c r="W2" s="3"/>
      <c r="X2" s="3"/>
      <c r="Y2" s="3"/>
      <c r="Z2" s="3"/>
      <c r="AA2" s="3"/>
    </row>
    <row r="3" spans="1:32" ht="13.5" customHeight="1">
      <c r="A3" s="61" t="s">
        <v>73</v>
      </c>
      <c r="B3" s="65" t="s">
        <v>1</v>
      </c>
      <c r="C3" s="66" t="s">
        <v>2</v>
      </c>
      <c r="D3" s="66" t="s">
        <v>3</v>
      </c>
      <c r="E3" s="66" t="s">
        <v>74</v>
      </c>
      <c r="F3" s="66" t="s">
        <v>75</v>
      </c>
      <c r="G3" s="65" t="s">
        <v>4</v>
      </c>
      <c r="H3" s="65"/>
      <c r="I3" s="65" t="s">
        <v>5</v>
      </c>
      <c r="J3" s="65"/>
      <c r="K3" s="65" t="s">
        <v>6</v>
      </c>
      <c r="L3" s="65"/>
      <c r="M3" s="66" t="s">
        <v>7</v>
      </c>
      <c r="N3" s="66" t="s">
        <v>8</v>
      </c>
      <c r="V3" s="3"/>
      <c r="W3" s="3"/>
      <c r="X3" s="3"/>
      <c r="Y3" s="3"/>
      <c r="Z3" s="3"/>
      <c r="AA3" s="3"/>
    </row>
    <row r="4" spans="1:32">
      <c r="A4" s="62"/>
      <c r="B4" s="65"/>
      <c r="C4" s="66"/>
      <c r="D4" s="66"/>
      <c r="E4" s="66"/>
      <c r="F4" s="66"/>
      <c r="G4" s="65" t="s">
        <v>9</v>
      </c>
      <c r="H4" s="65" t="s">
        <v>10</v>
      </c>
      <c r="I4" s="65" t="s">
        <v>9</v>
      </c>
      <c r="J4" s="65" t="s">
        <v>10</v>
      </c>
      <c r="K4" s="65" t="s">
        <v>9</v>
      </c>
      <c r="L4" s="65" t="s">
        <v>10</v>
      </c>
      <c r="M4" s="65"/>
      <c r="N4" s="65"/>
      <c r="AD4" s="2"/>
      <c r="AE4" s="2"/>
      <c r="AF4" s="2"/>
    </row>
    <row r="5" spans="1:32">
      <c r="A5" s="62"/>
      <c r="B5" s="65"/>
      <c r="C5" s="66"/>
      <c r="D5" s="66"/>
      <c r="E5" s="66"/>
      <c r="F5" s="66"/>
      <c r="G5" s="65"/>
      <c r="H5" s="65"/>
      <c r="I5" s="65"/>
      <c r="J5" s="65"/>
      <c r="K5" s="65"/>
      <c r="L5" s="65"/>
      <c r="M5" s="65"/>
      <c r="N5" s="65"/>
      <c r="AD5" s="2"/>
      <c r="AE5" s="2"/>
      <c r="AF5" s="2"/>
    </row>
    <row r="6" spans="1:32" ht="17.25" customHeight="1">
      <c r="A6" s="53" t="s">
        <v>72</v>
      </c>
      <c r="B6" s="60" t="s">
        <v>11</v>
      </c>
      <c r="C6" s="6" t="s">
        <v>12</v>
      </c>
      <c r="D6" s="6" t="s">
        <v>13</v>
      </c>
      <c r="E6" s="7">
        <v>4</v>
      </c>
      <c r="F6" s="7">
        <v>4</v>
      </c>
      <c r="G6" s="7">
        <v>4</v>
      </c>
      <c r="H6" s="7"/>
      <c r="I6" s="35"/>
      <c r="J6" s="7"/>
      <c r="K6" s="7"/>
      <c r="L6" s="7"/>
      <c r="M6" s="60">
        <f>SUM(G6:L10)</f>
        <v>19</v>
      </c>
      <c r="N6" s="57">
        <v>8</v>
      </c>
      <c r="AD6" s="2"/>
      <c r="AE6" s="2"/>
      <c r="AF6" s="2"/>
    </row>
    <row r="7" spans="1:32" ht="17.25" customHeight="1">
      <c r="A7" s="54"/>
      <c r="B7" s="60"/>
      <c r="C7" s="6" t="s">
        <v>14</v>
      </c>
      <c r="D7" s="6" t="s">
        <v>15</v>
      </c>
      <c r="E7" s="7">
        <v>4</v>
      </c>
      <c r="F7" s="7">
        <v>3</v>
      </c>
      <c r="G7" s="7"/>
      <c r="H7" s="7">
        <v>3</v>
      </c>
      <c r="I7" s="7"/>
      <c r="J7" s="7"/>
      <c r="K7" s="7"/>
      <c r="L7" s="7"/>
      <c r="M7" s="60"/>
      <c r="N7" s="57"/>
      <c r="AD7" s="2"/>
      <c r="AE7" s="2"/>
      <c r="AF7" s="2"/>
    </row>
    <row r="8" spans="1:32" ht="17.25" customHeight="1">
      <c r="A8" s="54"/>
      <c r="B8" s="60"/>
      <c r="C8" s="36" t="s">
        <v>16</v>
      </c>
      <c r="D8" s="6" t="s">
        <v>17</v>
      </c>
      <c r="E8" s="7">
        <v>4</v>
      </c>
      <c r="F8" s="7">
        <v>4</v>
      </c>
      <c r="G8" s="7"/>
      <c r="H8" s="7"/>
      <c r="I8" s="7">
        <v>4</v>
      </c>
      <c r="J8" s="7"/>
      <c r="K8" s="7"/>
      <c r="L8" s="7"/>
      <c r="M8" s="60"/>
      <c r="N8" s="57"/>
      <c r="AD8" s="2"/>
      <c r="AE8" s="2"/>
      <c r="AF8" s="2"/>
    </row>
    <row r="9" spans="1:32" ht="17.25" customHeight="1">
      <c r="A9" s="54"/>
      <c r="B9" s="60"/>
      <c r="C9" s="36" t="s">
        <v>18</v>
      </c>
      <c r="D9" s="6" t="s">
        <v>17</v>
      </c>
      <c r="E9" s="7">
        <v>4</v>
      </c>
      <c r="F9" s="7">
        <v>4</v>
      </c>
      <c r="G9" s="7"/>
      <c r="H9" s="7"/>
      <c r="I9" s="7"/>
      <c r="J9" s="7">
        <v>4</v>
      </c>
      <c r="K9" s="7"/>
      <c r="L9" s="7"/>
      <c r="M9" s="60"/>
      <c r="N9" s="57"/>
      <c r="AD9" s="2"/>
      <c r="AE9" s="2"/>
      <c r="AF9" s="2"/>
    </row>
    <row r="10" spans="1:32" ht="17.25" customHeight="1">
      <c r="A10" s="54"/>
      <c r="B10" s="60"/>
      <c r="C10" s="36" t="s">
        <v>19</v>
      </c>
      <c r="D10" s="6" t="s">
        <v>20</v>
      </c>
      <c r="E10" s="7">
        <v>4</v>
      </c>
      <c r="F10" s="7">
        <v>4</v>
      </c>
      <c r="G10" s="7"/>
      <c r="H10" s="7"/>
      <c r="I10" s="7"/>
      <c r="J10" s="7"/>
      <c r="K10" s="7">
        <v>4</v>
      </c>
      <c r="L10" s="7"/>
      <c r="M10" s="60"/>
      <c r="N10" s="57"/>
      <c r="AD10" s="2"/>
      <c r="AE10" s="2"/>
      <c r="AF10" s="2"/>
    </row>
    <row r="11" spans="1:32" ht="17.25" customHeight="1">
      <c r="A11" s="54"/>
      <c r="B11" s="60" t="s">
        <v>21</v>
      </c>
      <c r="C11" s="6" t="s">
        <v>22</v>
      </c>
      <c r="D11" s="6" t="s">
        <v>13</v>
      </c>
      <c r="E11" s="7">
        <v>4</v>
      </c>
      <c r="F11" s="7">
        <v>4</v>
      </c>
      <c r="G11" s="7">
        <v>4</v>
      </c>
      <c r="H11" s="7"/>
      <c r="I11" s="7"/>
      <c r="J11" s="7"/>
      <c r="K11" s="7"/>
      <c r="L11" s="7"/>
      <c r="M11" s="57">
        <f>SUM(G11:L15)</f>
        <v>19</v>
      </c>
      <c r="N11" s="57">
        <v>8</v>
      </c>
      <c r="AD11" s="2"/>
      <c r="AE11" s="2"/>
      <c r="AF11" s="2"/>
    </row>
    <row r="12" spans="1:32" ht="17.25" customHeight="1">
      <c r="A12" s="54"/>
      <c r="B12" s="60"/>
      <c r="C12" s="6" t="s">
        <v>23</v>
      </c>
      <c r="D12" s="6" t="s">
        <v>15</v>
      </c>
      <c r="E12" s="7">
        <v>4</v>
      </c>
      <c r="F12" s="7">
        <v>4</v>
      </c>
      <c r="G12" s="7"/>
      <c r="H12" s="7">
        <v>4</v>
      </c>
      <c r="I12" s="7"/>
      <c r="J12" s="7"/>
      <c r="K12" s="7"/>
      <c r="L12" s="7"/>
      <c r="M12" s="57"/>
      <c r="N12" s="57"/>
      <c r="AD12" s="2"/>
      <c r="AE12" s="2"/>
      <c r="AF12" s="2"/>
    </row>
    <row r="13" spans="1:32" ht="17.25" customHeight="1">
      <c r="A13" s="54"/>
      <c r="B13" s="60"/>
      <c r="C13" s="36" t="s">
        <v>24</v>
      </c>
      <c r="D13" s="6" t="s">
        <v>20</v>
      </c>
      <c r="E13" s="7">
        <v>4</v>
      </c>
      <c r="F13" s="7">
        <v>4</v>
      </c>
      <c r="G13" s="7"/>
      <c r="H13" s="7"/>
      <c r="I13" s="7">
        <v>4</v>
      </c>
      <c r="J13" s="7"/>
      <c r="K13" s="7"/>
      <c r="L13" s="7"/>
      <c r="M13" s="57"/>
      <c r="N13" s="57"/>
      <c r="AD13" s="2"/>
      <c r="AE13" s="2"/>
      <c r="AF13" s="2"/>
    </row>
    <row r="14" spans="1:32" ht="17.25" customHeight="1">
      <c r="A14" s="54"/>
      <c r="B14" s="60"/>
      <c r="C14" s="36" t="s">
        <v>25</v>
      </c>
      <c r="D14" s="6" t="s">
        <v>20</v>
      </c>
      <c r="E14" s="7">
        <v>4</v>
      </c>
      <c r="F14" s="7">
        <v>4</v>
      </c>
      <c r="G14" s="7"/>
      <c r="H14" s="7"/>
      <c r="I14" s="7"/>
      <c r="J14" s="7">
        <v>4</v>
      </c>
      <c r="K14" s="7"/>
      <c r="L14" s="7"/>
      <c r="M14" s="57"/>
      <c r="N14" s="57"/>
      <c r="AD14" s="2"/>
      <c r="AE14" s="2"/>
      <c r="AF14" s="2"/>
    </row>
    <row r="15" spans="1:32" ht="17.25" customHeight="1">
      <c r="A15" s="54"/>
      <c r="B15" s="60"/>
      <c r="C15" s="6" t="s">
        <v>26</v>
      </c>
      <c r="D15" s="6" t="s">
        <v>27</v>
      </c>
      <c r="E15" s="7">
        <v>4</v>
      </c>
      <c r="F15" s="7">
        <v>3</v>
      </c>
      <c r="G15" s="7"/>
      <c r="H15" s="7"/>
      <c r="I15" s="7"/>
      <c r="J15" s="7"/>
      <c r="K15" s="7"/>
      <c r="L15" s="7">
        <v>3</v>
      </c>
      <c r="M15" s="57"/>
      <c r="N15" s="57"/>
      <c r="O15" s="8"/>
      <c r="AD15" s="2"/>
      <c r="AE15" s="2"/>
      <c r="AF15" s="2"/>
    </row>
    <row r="16" spans="1:32" ht="17.25" customHeight="1">
      <c r="A16" s="54"/>
      <c r="B16" s="57" t="s">
        <v>28</v>
      </c>
      <c r="C16" s="6" t="s">
        <v>29</v>
      </c>
      <c r="D16" s="6" t="s">
        <v>13</v>
      </c>
      <c r="E16" s="7">
        <v>4</v>
      </c>
      <c r="F16" s="7">
        <v>3</v>
      </c>
      <c r="G16" s="7">
        <v>3</v>
      </c>
      <c r="H16" s="7"/>
      <c r="I16" s="7"/>
      <c r="J16" s="7"/>
      <c r="K16" s="7"/>
      <c r="L16" s="7"/>
      <c r="M16" s="60">
        <f>SUM(G16:L20)</f>
        <v>18</v>
      </c>
      <c r="N16" s="57">
        <v>8</v>
      </c>
      <c r="O16" s="8"/>
      <c r="AD16" s="2"/>
      <c r="AE16" s="2"/>
      <c r="AF16" s="2"/>
    </row>
    <row r="17" spans="1:32" ht="17.25" customHeight="1">
      <c r="A17" s="54"/>
      <c r="B17" s="57"/>
      <c r="C17" s="6" t="s">
        <v>30</v>
      </c>
      <c r="D17" s="6" t="s">
        <v>15</v>
      </c>
      <c r="E17" s="7">
        <v>4</v>
      </c>
      <c r="F17" s="7">
        <v>4</v>
      </c>
      <c r="G17" s="7"/>
      <c r="H17" s="7">
        <v>4</v>
      </c>
      <c r="I17" s="27"/>
      <c r="J17" s="7"/>
      <c r="K17" s="7"/>
      <c r="L17" s="7"/>
      <c r="M17" s="60"/>
      <c r="N17" s="57"/>
      <c r="O17" s="8"/>
      <c r="AD17" s="2"/>
      <c r="AE17" s="2"/>
      <c r="AF17" s="2"/>
    </row>
    <row r="18" spans="1:32" ht="17.25" customHeight="1">
      <c r="A18" s="54"/>
      <c r="B18" s="57"/>
      <c r="C18" s="36" t="s">
        <v>31</v>
      </c>
      <c r="D18" s="6" t="s">
        <v>20</v>
      </c>
      <c r="E18" s="7">
        <v>4</v>
      </c>
      <c r="F18" s="7">
        <v>4</v>
      </c>
      <c r="G18" s="7"/>
      <c r="H18" s="7"/>
      <c r="I18" s="27">
        <v>4</v>
      </c>
      <c r="J18" s="7"/>
      <c r="K18" s="7"/>
      <c r="L18" s="7"/>
      <c r="M18" s="60"/>
      <c r="N18" s="57"/>
      <c r="O18" s="8"/>
      <c r="AD18" s="2"/>
      <c r="AE18" s="2"/>
      <c r="AF18" s="2"/>
    </row>
    <row r="19" spans="1:32" ht="17.25" customHeight="1">
      <c r="A19" s="54"/>
      <c r="B19" s="57"/>
      <c r="C19" s="36" t="s">
        <v>32</v>
      </c>
      <c r="D19" s="6" t="s">
        <v>17</v>
      </c>
      <c r="E19" s="7">
        <v>4</v>
      </c>
      <c r="F19" s="7">
        <v>4</v>
      </c>
      <c r="G19" s="7"/>
      <c r="H19" s="7"/>
      <c r="I19" s="27"/>
      <c r="J19" s="7">
        <v>4</v>
      </c>
      <c r="K19" s="7"/>
      <c r="L19" s="7"/>
      <c r="M19" s="60"/>
      <c r="N19" s="57"/>
      <c r="O19" s="8"/>
      <c r="AD19" s="2"/>
      <c r="AE19" s="2"/>
      <c r="AF19" s="2"/>
    </row>
    <row r="20" spans="1:32" ht="17.25" customHeight="1">
      <c r="A20" s="54"/>
      <c r="B20" s="57"/>
      <c r="C20" s="6" t="s">
        <v>33</v>
      </c>
      <c r="D20" s="6" t="s">
        <v>34</v>
      </c>
      <c r="E20" s="7">
        <v>4</v>
      </c>
      <c r="F20" s="7">
        <v>3</v>
      </c>
      <c r="G20" s="7"/>
      <c r="H20" s="7"/>
      <c r="I20" s="27"/>
      <c r="J20" s="7"/>
      <c r="K20" s="7">
        <v>3</v>
      </c>
      <c r="L20" s="7"/>
      <c r="M20" s="60"/>
      <c r="N20" s="57"/>
      <c r="O20" s="8"/>
      <c r="AD20" s="2"/>
      <c r="AE20" s="2"/>
      <c r="AF20" s="2"/>
    </row>
    <row r="21" spans="1:32" ht="17.25" customHeight="1">
      <c r="A21" s="54"/>
      <c r="B21" s="60" t="s">
        <v>35</v>
      </c>
      <c r="C21" s="36" t="s">
        <v>36</v>
      </c>
      <c r="D21" s="6" t="s">
        <v>15</v>
      </c>
      <c r="E21" s="7">
        <v>3</v>
      </c>
      <c r="F21" s="7">
        <v>3</v>
      </c>
      <c r="G21" s="7">
        <v>3</v>
      </c>
      <c r="H21" s="7"/>
      <c r="I21" s="27"/>
      <c r="J21" s="7"/>
      <c r="K21" s="7"/>
      <c r="L21" s="7"/>
      <c r="M21" s="60">
        <f>SUM(G21:L22)</f>
        <v>6</v>
      </c>
      <c r="N21" s="57">
        <v>6</v>
      </c>
      <c r="O21" s="8"/>
      <c r="AD21" s="2"/>
      <c r="AE21" s="2"/>
      <c r="AF21" s="2"/>
    </row>
    <row r="22" spans="1:32" ht="17.25" customHeight="1">
      <c r="A22" s="54"/>
      <c r="B22" s="60"/>
      <c r="C22" s="36" t="s">
        <v>37</v>
      </c>
      <c r="D22" s="6" t="s">
        <v>13</v>
      </c>
      <c r="E22" s="7">
        <v>3</v>
      </c>
      <c r="F22" s="7">
        <v>3</v>
      </c>
      <c r="G22" s="7"/>
      <c r="H22" s="7">
        <v>3</v>
      </c>
      <c r="I22" s="7"/>
      <c r="J22" s="28"/>
      <c r="K22" s="7"/>
      <c r="L22" s="7"/>
      <c r="M22" s="60"/>
      <c r="N22" s="57"/>
      <c r="O22" s="8"/>
      <c r="AD22" s="2"/>
      <c r="AE22" s="2"/>
      <c r="AF22" s="2"/>
    </row>
    <row r="23" spans="1:32" ht="17.25" customHeight="1">
      <c r="A23" s="54"/>
      <c r="B23" s="60"/>
      <c r="C23" s="36" t="s">
        <v>38</v>
      </c>
      <c r="D23" s="6" t="s">
        <v>15</v>
      </c>
      <c r="E23" s="7">
        <v>4</v>
      </c>
      <c r="F23" s="7">
        <v>3</v>
      </c>
      <c r="G23" s="7">
        <v>3</v>
      </c>
      <c r="H23" s="7"/>
      <c r="I23" s="7"/>
      <c r="J23" s="28"/>
      <c r="K23" s="7"/>
      <c r="L23" s="7"/>
      <c r="M23" s="60">
        <f>SUM(G23:L24)</f>
        <v>6</v>
      </c>
      <c r="N23" s="57">
        <v>8</v>
      </c>
      <c r="O23" s="8"/>
      <c r="AD23" s="2"/>
      <c r="AE23" s="2"/>
      <c r="AF23" s="2"/>
    </row>
    <row r="24" spans="1:32" ht="17.25" customHeight="1">
      <c r="A24" s="54"/>
      <c r="B24" s="60"/>
      <c r="C24" s="36" t="s">
        <v>39</v>
      </c>
      <c r="D24" s="6" t="s">
        <v>13</v>
      </c>
      <c r="E24" s="7">
        <v>4</v>
      </c>
      <c r="F24" s="7">
        <v>3</v>
      </c>
      <c r="G24" s="7"/>
      <c r="H24" s="7">
        <v>3</v>
      </c>
      <c r="I24" s="7"/>
      <c r="J24" s="7"/>
      <c r="K24" s="28"/>
      <c r="L24" s="28"/>
      <c r="M24" s="60"/>
      <c r="N24" s="57"/>
      <c r="O24" s="8"/>
      <c r="AD24" s="2"/>
      <c r="AE24" s="2"/>
      <c r="AF24" s="2"/>
    </row>
    <row r="25" spans="1:32" ht="17.25" customHeight="1">
      <c r="A25" s="54"/>
      <c r="B25" s="60" t="s">
        <v>40</v>
      </c>
      <c r="C25" s="36" t="s">
        <v>41</v>
      </c>
      <c r="D25" s="6" t="s">
        <v>13</v>
      </c>
      <c r="E25" s="7">
        <v>4</v>
      </c>
      <c r="F25" s="7">
        <v>3</v>
      </c>
      <c r="G25" s="7">
        <v>3</v>
      </c>
      <c r="H25" s="7"/>
      <c r="I25" s="7"/>
      <c r="J25" s="7"/>
      <c r="K25" s="28"/>
      <c r="L25" s="28"/>
      <c r="M25" s="57">
        <f>SUM(G25:L28)</f>
        <v>8</v>
      </c>
      <c r="N25" s="57">
        <v>10</v>
      </c>
      <c r="O25" s="8"/>
      <c r="AD25" s="2"/>
      <c r="AE25" s="2"/>
      <c r="AF25" s="2"/>
    </row>
    <row r="26" spans="1:32" ht="17.25" customHeight="1">
      <c r="A26" s="54"/>
      <c r="B26" s="60"/>
      <c r="C26" s="36" t="s">
        <v>42</v>
      </c>
      <c r="D26" s="6" t="s">
        <v>15</v>
      </c>
      <c r="E26" s="7">
        <v>4</v>
      </c>
      <c r="F26" s="7">
        <v>3</v>
      </c>
      <c r="G26" s="7"/>
      <c r="H26" s="7">
        <v>3</v>
      </c>
      <c r="I26" s="7"/>
      <c r="J26" s="7"/>
      <c r="K26" s="28"/>
      <c r="L26" s="28"/>
      <c r="M26" s="57"/>
      <c r="N26" s="57"/>
      <c r="O26" s="8"/>
      <c r="AD26" s="2"/>
      <c r="AE26" s="2"/>
      <c r="AF26" s="2"/>
    </row>
    <row r="27" spans="1:32" ht="17.25" customHeight="1">
      <c r="A27" s="54"/>
      <c r="B27" s="60"/>
      <c r="C27" s="6" t="s">
        <v>43</v>
      </c>
      <c r="D27" s="6" t="s">
        <v>15</v>
      </c>
      <c r="E27" s="7">
        <v>1</v>
      </c>
      <c r="F27" s="7">
        <v>1</v>
      </c>
      <c r="G27" s="7">
        <v>1</v>
      </c>
      <c r="H27" s="7"/>
      <c r="I27" s="7"/>
      <c r="J27" s="7"/>
      <c r="K27" s="28"/>
      <c r="L27" s="28"/>
      <c r="M27" s="57"/>
      <c r="N27" s="57"/>
      <c r="O27" s="8"/>
      <c r="AD27" s="2"/>
      <c r="AE27" s="2"/>
      <c r="AF27" s="2"/>
    </row>
    <row r="28" spans="1:32" ht="17.25" customHeight="1">
      <c r="A28" s="54"/>
      <c r="B28" s="60"/>
      <c r="C28" s="6" t="s">
        <v>44</v>
      </c>
      <c r="D28" s="6" t="s">
        <v>13</v>
      </c>
      <c r="E28" s="7">
        <v>1</v>
      </c>
      <c r="F28" s="7">
        <v>1</v>
      </c>
      <c r="G28" s="7"/>
      <c r="H28" s="7">
        <v>1</v>
      </c>
      <c r="I28" s="7"/>
      <c r="J28" s="7"/>
      <c r="K28" s="7"/>
      <c r="L28" s="7"/>
      <c r="M28" s="60"/>
      <c r="N28" s="57"/>
      <c r="O28" s="8"/>
      <c r="AD28" s="2"/>
      <c r="AE28" s="2"/>
      <c r="AF28" s="2"/>
    </row>
    <row r="29" spans="1:32" ht="17.25" customHeight="1">
      <c r="A29" s="54"/>
      <c r="B29" s="57" t="s">
        <v>45</v>
      </c>
      <c r="C29" s="6" t="s">
        <v>46</v>
      </c>
      <c r="D29" s="6" t="s">
        <v>20</v>
      </c>
      <c r="E29" s="7">
        <v>3</v>
      </c>
      <c r="F29" s="7">
        <v>2</v>
      </c>
      <c r="G29" s="7">
        <v>2</v>
      </c>
      <c r="H29" s="7"/>
      <c r="I29" s="7"/>
      <c r="J29" s="7"/>
      <c r="K29" s="7"/>
      <c r="L29" s="7"/>
      <c r="M29" s="60">
        <f>SUM(G29:L34)</f>
        <v>11</v>
      </c>
      <c r="N29" s="57">
        <v>10</v>
      </c>
      <c r="O29" s="8"/>
      <c r="AD29" s="2"/>
      <c r="AE29" s="2"/>
      <c r="AF29" s="2"/>
    </row>
    <row r="30" spans="1:32" ht="17.25" customHeight="1">
      <c r="A30" s="54"/>
      <c r="B30" s="57"/>
      <c r="C30" s="6" t="s">
        <v>47</v>
      </c>
      <c r="D30" s="6" t="s">
        <v>20</v>
      </c>
      <c r="E30" s="7">
        <v>3</v>
      </c>
      <c r="F30" s="7">
        <v>2</v>
      </c>
      <c r="G30" s="7"/>
      <c r="H30" s="7">
        <v>2</v>
      </c>
      <c r="I30" s="7"/>
      <c r="J30" s="7"/>
      <c r="K30" s="7"/>
      <c r="L30" s="7"/>
      <c r="M30" s="60"/>
      <c r="N30" s="57"/>
      <c r="O30" s="8"/>
      <c r="AD30" s="2"/>
      <c r="AE30" s="2"/>
      <c r="AF30" s="2"/>
    </row>
    <row r="31" spans="1:32" ht="17.25" customHeight="1">
      <c r="A31" s="54"/>
      <c r="B31" s="57"/>
      <c r="C31" s="6" t="s">
        <v>48</v>
      </c>
      <c r="D31" s="6" t="s">
        <v>34</v>
      </c>
      <c r="E31" s="7">
        <v>2</v>
      </c>
      <c r="F31" s="7">
        <v>1</v>
      </c>
      <c r="G31" s="7"/>
      <c r="H31" s="7"/>
      <c r="I31" s="7">
        <v>1</v>
      </c>
      <c r="J31" s="7"/>
      <c r="K31" s="7"/>
      <c r="L31" s="7"/>
      <c r="M31" s="60"/>
      <c r="N31" s="57"/>
      <c r="O31" s="8"/>
      <c r="AD31" s="2"/>
      <c r="AE31" s="2"/>
      <c r="AF31" s="2"/>
    </row>
    <row r="32" spans="1:32" ht="17.25" customHeight="1">
      <c r="A32" s="54"/>
      <c r="B32" s="57"/>
      <c r="C32" s="6" t="s">
        <v>49</v>
      </c>
      <c r="D32" s="6" t="s">
        <v>34</v>
      </c>
      <c r="E32" s="7">
        <v>2</v>
      </c>
      <c r="F32" s="7">
        <v>1</v>
      </c>
      <c r="G32" s="7"/>
      <c r="H32" s="7"/>
      <c r="I32" s="7"/>
      <c r="J32" s="7">
        <v>1</v>
      </c>
      <c r="K32" s="7"/>
      <c r="L32" s="7"/>
      <c r="M32" s="60"/>
      <c r="N32" s="57"/>
      <c r="O32" s="8"/>
      <c r="AD32" s="2"/>
      <c r="AE32" s="2"/>
      <c r="AF32" s="2"/>
    </row>
    <row r="33" spans="1:32" ht="17.25" customHeight="1">
      <c r="A33" s="54"/>
      <c r="B33" s="57"/>
      <c r="C33" s="6" t="s">
        <v>50</v>
      </c>
      <c r="D33" s="6" t="s">
        <v>51</v>
      </c>
      <c r="E33" s="7">
        <v>3</v>
      </c>
      <c r="F33" s="7">
        <v>2</v>
      </c>
      <c r="G33" s="7"/>
      <c r="H33" s="7"/>
      <c r="I33" s="7"/>
      <c r="J33" s="7"/>
      <c r="K33" s="7">
        <v>2</v>
      </c>
      <c r="L33" s="7"/>
      <c r="M33" s="60"/>
      <c r="N33" s="57"/>
      <c r="O33" s="8"/>
      <c r="AD33" s="2"/>
      <c r="AE33" s="2"/>
      <c r="AF33" s="2"/>
    </row>
    <row r="34" spans="1:32" ht="17.25" customHeight="1">
      <c r="A34" s="54"/>
      <c r="B34" s="57"/>
      <c r="C34" s="6" t="s">
        <v>52</v>
      </c>
      <c r="D34" s="6" t="s">
        <v>51</v>
      </c>
      <c r="E34" s="7">
        <v>3</v>
      </c>
      <c r="F34" s="7">
        <v>3</v>
      </c>
      <c r="G34" s="7"/>
      <c r="H34" s="7"/>
      <c r="I34" s="7"/>
      <c r="J34" s="7"/>
      <c r="K34" s="7"/>
      <c r="L34" s="7">
        <v>3</v>
      </c>
      <c r="M34" s="60"/>
      <c r="N34" s="57"/>
      <c r="O34" s="8"/>
      <c r="AD34" s="2"/>
      <c r="AE34" s="2"/>
      <c r="AF34" s="2"/>
    </row>
    <row r="35" spans="1:32" ht="17.25" customHeight="1">
      <c r="A35" s="54"/>
      <c r="B35" s="57" t="s">
        <v>53</v>
      </c>
      <c r="C35" s="6" t="s">
        <v>54</v>
      </c>
      <c r="D35" s="6" t="s">
        <v>20</v>
      </c>
      <c r="E35" s="7">
        <v>4</v>
      </c>
      <c r="F35" s="7">
        <v>3</v>
      </c>
      <c r="G35" s="7">
        <v>3</v>
      </c>
      <c r="H35" s="7"/>
      <c r="I35" s="7"/>
      <c r="J35" s="7"/>
      <c r="K35" s="7"/>
      <c r="L35" s="7"/>
      <c r="M35" s="57">
        <f>SUM(G35:L36)</f>
        <v>6</v>
      </c>
      <c r="N35" s="60">
        <v>16</v>
      </c>
      <c r="O35" s="8"/>
    </row>
    <row r="36" spans="1:32" ht="17.25" customHeight="1">
      <c r="A36" s="54"/>
      <c r="B36" s="57"/>
      <c r="C36" s="6" t="s">
        <v>55</v>
      </c>
      <c r="D36" s="6" t="s">
        <v>34</v>
      </c>
      <c r="E36" s="7">
        <v>4</v>
      </c>
      <c r="F36" s="7">
        <v>3</v>
      </c>
      <c r="G36" s="7"/>
      <c r="H36" s="7">
        <v>3</v>
      </c>
      <c r="I36" s="7"/>
      <c r="J36" s="7"/>
      <c r="K36" s="7"/>
      <c r="L36" s="7"/>
      <c r="M36" s="57"/>
      <c r="N36" s="60"/>
      <c r="O36" s="8"/>
      <c r="P36" s="10" t="s">
        <v>56</v>
      </c>
      <c r="Q36" s="11" t="s">
        <v>57</v>
      </c>
      <c r="R36" s="12" t="s">
        <v>58</v>
      </c>
      <c r="S36" s="3"/>
      <c r="T36" s="3"/>
      <c r="U36" s="3"/>
      <c r="V36" s="3"/>
      <c r="W36" s="3"/>
      <c r="Y36" s="3"/>
    </row>
    <row r="37" spans="1:32" ht="17.25" customHeight="1">
      <c r="A37" s="54"/>
      <c r="B37" s="57" t="s">
        <v>59</v>
      </c>
      <c r="C37" s="6" t="s">
        <v>60</v>
      </c>
      <c r="D37" s="6" t="s">
        <v>20</v>
      </c>
      <c r="E37" s="7">
        <v>3</v>
      </c>
      <c r="F37" s="7">
        <v>2</v>
      </c>
      <c r="G37" s="7">
        <v>2</v>
      </c>
      <c r="H37" s="7"/>
      <c r="I37" s="7"/>
      <c r="J37" s="7"/>
      <c r="K37" s="7"/>
      <c r="L37" s="7"/>
      <c r="M37" s="57">
        <f>SUM(G37:L38)</f>
        <v>4</v>
      </c>
      <c r="N37" s="60"/>
      <c r="O37" s="8"/>
      <c r="P37" s="10" t="s">
        <v>61</v>
      </c>
      <c r="Q37" s="11">
        <v>10</v>
      </c>
      <c r="R37" s="12">
        <f>M29</f>
        <v>11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8"/>
      <c r="AE37" s="8"/>
      <c r="AF37" s="8"/>
    </row>
    <row r="38" spans="1:32" ht="17.25" customHeight="1">
      <c r="A38" s="54"/>
      <c r="B38" s="57"/>
      <c r="C38" s="6" t="s">
        <v>62</v>
      </c>
      <c r="D38" s="6" t="s">
        <v>20</v>
      </c>
      <c r="E38" s="7">
        <v>3</v>
      </c>
      <c r="F38" s="7">
        <v>2</v>
      </c>
      <c r="G38" s="7"/>
      <c r="H38" s="7">
        <v>2</v>
      </c>
      <c r="I38" s="7"/>
      <c r="J38" s="7"/>
      <c r="K38" s="7"/>
      <c r="L38" s="7"/>
      <c r="M38" s="57"/>
      <c r="N38" s="60"/>
      <c r="O38" s="8"/>
      <c r="P38" s="10" t="s">
        <v>63</v>
      </c>
      <c r="Q38" s="11">
        <v>10</v>
      </c>
      <c r="R38" s="12">
        <f>M86</f>
        <v>10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8"/>
      <c r="AE38" s="8"/>
      <c r="AF38" s="8"/>
    </row>
    <row r="39" spans="1:32" ht="17.25" thickBot="1">
      <c r="A39" s="29"/>
      <c r="B39" s="55" t="s">
        <v>76</v>
      </c>
      <c r="C39" s="55"/>
      <c r="D39" s="55"/>
      <c r="E39" s="55"/>
      <c r="F39" s="55"/>
      <c r="G39" s="47">
        <f t="shared" ref="G39:M39" si="0">SUM(G6:G38)</f>
        <v>28</v>
      </c>
      <c r="H39" s="47">
        <f t="shared" si="0"/>
        <v>28</v>
      </c>
      <c r="I39" s="47">
        <f t="shared" si="0"/>
        <v>13</v>
      </c>
      <c r="J39" s="47">
        <f t="shared" si="0"/>
        <v>13</v>
      </c>
      <c r="K39" s="47">
        <f t="shared" si="0"/>
        <v>9</v>
      </c>
      <c r="L39" s="47">
        <f t="shared" si="0"/>
        <v>6</v>
      </c>
      <c r="M39" s="48">
        <f t="shared" si="0"/>
        <v>97</v>
      </c>
      <c r="N39" s="48">
        <f>SUM(N6:N38)</f>
        <v>74</v>
      </c>
      <c r="O39" s="8"/>
      <c r="P39" s="10" t="s">
        <v>64</v>
      </c>
      <c r="Q39" s="11">
        <v>16</v>
      </c>
      <c r="R39" s="12">
        <f>M35+M37+M94</f>
        <v>16</v>
      </c>
      <c r="S39" s="3"/>
      <c r="T39" s="3"/>
      <c r="V39" s="3"/>
      <c r="W39" s="3"/>
      <c r="X39" s="3"/>
      <c r="Y39" s="3"/>
      <c r="Z39" s="3"/>
      <c r="AA39" s="3"/>
      <c r="AB39" s="3"/>
      <c r="AC39" s="3"/>
      <c r="AD39" s="8"/>
      <c r="AE39" s="8"/>
      <c r="AF39" s="8"/>
    </row>
    <row r="40" spans="1:32" ht="17.45" customHeight="1">
      <c r="A40" s="56" t="s">
        <v>77</v>
      </c>
      <c r="B40" s="44" t="s">
        <v>65</v>
      </c>
      <c r="C40" s="31" t="s">
        <v>80</v>
      </c>
      <c r="D40" s="13" t="s">
        <v>17</v>
      </c>
      <c r="E40" s="14">
        <v>4</v>
      </c>
      <c r="F40" s="45">
        <v>4</v>
      </c>
      <c r="G40" s="14"/>
      <c r="H40" s="14"/>
      <c r="I40" s="69" t="s">
        <v>86</v>
      </c>
      <c r="J40" s="14"/>
      <c r="K40" s="14"/>
      <c r="L40" s="14"/>
      <c r="M40" s="52">
        <v>34</v>
      </c>
      <c r="N40" s="52"/>
      <c r="O40" s="8"/>
      <c r="P40" s="3"/>
      <c r="Q40" s="3"/>
      <c r="R40" s="3"/>
      <c r="S40" s="3"/>
      <c r="T40" s="3"/>
      <c r="V40" s="3"/>
      <c r="W40" s="3"/>
      <c r="X40" s="3"/>
      <c r="Y40" s="3"/>
      <c r="Z40" s="3"/>
      <c r="AA40" s="3"/>
      <c r="AB40" s="3"/>
      <c r="AC40" s="3"/>
      <c r="AD40" s="8"/>
      <c r="AE40" s="8"/>
      <c r="AF40" s="8"/>
    </row>
    <row r="41" spans="1:32" ht="17.45" customHeight="1">
      <c r="A41" s="53"/>
      <c r="B41" s="9" t="s">
        <v>78</v>
      </c>
      <c r="C41" s="15" t="s">
        <v>79</v>
      </c>
      <c r="D41" s="6" t="s">
        <v>84</v>
      </c>
      <c r="E41" s="7">
        <v>4</v>
      </c>
      <c r="F41" s="27">
        <v>4</v>
      </c>
      <c r="G41" s="7"/>
      <c r="H41" s="7"/>
      <c r="I41" s="70"/>
      <c r="J41" s="7"/>
      <c r="K41" s="7"/>
      <c r="L41" s="7"/>
      <c r="M41" s="50"/>
      <c r="N41" s="50"/>
      <c r="O41" s="8"/>
      <c r="P41" s="3"/>
      <c r="Q41" s="3"/>
      <c r="R41" s="3"/>
      <c r="S41" s="3"/>
      <c r="T41" s="3"/>
      <c r="V41" s="3"/>
      <c r="W41" s="3"/>
      <c r="X41" s="3"/>
      <c r="Y41" s="3"/>
      <c r="Z41" s="3"/>
      <c r="AA41" s="3"/>
      <c r="AB41" s="3"/>
      <c r="AC41" s="3"/>
      <c r="AD41" s="8"/>
      <c r="AE41" s="8"/>
      <c r="AF41" s="8"/>
    </row>
    <row r="42" spans="1:32" ht="17.45" customHeight="1">
      <c r="A42" s="53"/>
      <c r="B42" s="9" t="s">
        <v>82</v>
      </c>
      <c r="C42" s="15" t="s">
        <v>81</v>
      </c>
      <c r="D42" s="6" t="s">
        <v>84</v>
      </c>
      <c r="E42" s="7">
        <v>4</v>
      </c>
      <c r="F42" s="27">
        <v>4</v>
      </c>
      <c r="G42" s="7"/>
      <c r="H42" s="7"/>
      <c r="I42" s="58" t="s">
        <v>86</v>
      </c>
      <c r="J42" s="7"/>
      <c r="K42" s="7"/>
      <c r="L42" s="7"/>
      <c r="M42" s="50"/>
      <c r="N42" s="50"/>
      <c r="O42" s="8"/>
      <c r="P42" s="3"/>
      <c r="Q42" s="3"/>
      <c r="R42" s="3"/>
      <c r="S42" s="3"/>
      <c r="T42" s="3"/>
      <c r="V42" s="3"/>
      <c r="W42" s="3"/>
      <c r="X42" s="3"/>
      <c r="Y42" s="3"/>
      <c r="Z42" s="3"/>
      <c r="AA42" s="3"/>
      <c r="AB42" s="3"/>
      <c r="AC42" s="3"/>
      <c r="AD42" s="8"/>
      <c r="AE42" s="8"/>
      <c r="AF42" s="8"/>
    </row>
    <row r="43" spans="1:32" ht="17.45" customHeight="1">
      <c r="A43" s="54"/>
      <c r="B43" s="9" t="s">
        <v>83</v>
      </c>
      <c r="C43" s="15" t="s">
        <v>85</v>
      </c>
      <c r="D43" s="6" t="s">
        <v>66</v>
      </c>
      <c r="E43" s="7">
        <v>4</v>
      </c>
      <c r="F43" s="27">
        <v>4</v>
      </c>
      <c r="G43" s="7"/>
      <c r="H43" s="7"/>
      <c r="I43" s="70"/>
      <c r="J43" s="7"/>
      <c r="K43" s="7"/>
      <c r="L43" s="7"/>
      <c r="M43" s="50"/>
      <c r="N43" s="50"/>
      <c r="O43" s="8"/>
      <c r="P43" s="3"/>
      <c r="Q43" s="3"/>
      <c r="R43" s="3"/>
      <c r="S43" s="3"/>
      <c r="T43" s="3"/>
      <c r="V43" s="3"/>
      <c r="W43" s="3"/>
      <c r="X43" s="3"/>
      <c r="Y43" s="3"/>
      <c r="Z43" s="3"/>
      <c r="AA43" s="3"/>
      <c r="AB43" s="3"/>
      <c r="AC43" s="3"/>
      <c r="AD43" s="8"/>
      <c r="AE43" s="8"/>
      <c r="AF43" s="8"/>
    </row>
    <row r="44" spans="1:32" ht="17.45" customHeight="1">
      <c r="A44" s="54"/>
      <c r="B44" s="57" t="s">
        <v>35</v>
      </c>
      <c r="C44" s="15" t="s">
        <v>96</v>
      </c>
      <c r="D44" s="6" t="s">
        <v>17</v>
      </c>
      <c r="E44" s="7">
        <v>4</v>
      </c>
      <c r="F44" s="27">
        <v>3</v>
      </c>
      <c r="G44" s="7"/>
      <c r="H44" s="7"/>
      <c r="I44" s="58" t="s">
        <v>97</v>
      </c>
      <c r="J44" s="7"/>
      <c r="K44" s="7"/>
      <c r="L44" s="7"/>
      <c r="M44" s="50"/>
      <c r="N44" s="50"/>
      <c r="O44" s="8"/>
      <c r="P44" s="3"/>
      <c r="Q44" s="3"/>
      <c r="R44" s="3"/>
      <c r="S44" s="3"/>
      <c r="T44" s="3"/>
      <c r="V44" s="3"/>
      <c r="W44" s="3"/>
      <c r="X44" s="3"/>
      <c r="Y44" s="3"/>
      <c r="Z44" s="3"/>
      <c r="AA44" s="3"/>
      <c r="AB44" s="3"/>
      <c r="AC44" s="3"/>
      <c r="AD44" s="8"/>
      <c r="AE44" s="8"/>
      <c r="AF44" s="8"/>
    </row>
    <row r="45" spans="1:32" ht="17.45" customHeight="1">
      <c r="A45" s="54"/>
      <c r="B45" s="57"/>
      <c r="C45" s="15" t="s">
        <v>88</v>
      </c>
      <c r="D45" s="6" t="s">
        <v>145</v>
      </c>
      <c r="E45" s="7">
        <v>4</v>
      </c>
      <c r="F45" s="27">
        <v>3</v>
      </c>
      <c r="G45" s="7"/>
      <c r="H45" s="7"/>
      <c r="I45" s="70"/>
      <c r="J45" s="7"/>
      <c r="K45" s="7"/>
      <c r="L45" s="7"/>
      <c r="M45" s="50"/>
      <c r="N45" s="50"/>
      <c r="O45" s="8"/>
      <c r="P45" s="3"/>
      <c r="Q45" s="3"/>
      <c r="R45" s="3"/>
      <c r="S45" s="3"/>
      <c r="T45" s="3"/>
      <c r="V45" s="3"/>
      <c r="W45" s="3"/>
      <c r="X45" s="3"/>
      <c r="Y45" s="3"/>
      <c r="Z45" s="3"/>
      <c r="AA45" s="3"/>
      <c r="AB45" s="3"/>
      <c r="AC45" s="3"/>
      <c r="AD45" s="8"/>
      <c r="AE45" s="8"/>
      <c r="AF45" s="8"/>
    </row>
    <row r="46" spans="1:32" ht="17.45" customHeight="1">
      <c r="A46" s="54"/>
      <c r="B46" s="57"/>
      <c r="C46" s="15" t="s">
        <v>89</v>
      </c>
      <c r="D46" s="6" t="s">
        <v>145</v>
      </c>
      <c r="E46" s="7">
        <v>4</v>
      </c>
      <c r="F46" s="27">
        <v>3</v>
      </c>
      <c r="G46" s="7"/>
      <c r="H46" s="7"/>
      <c r="I46" s="70"/>
      <c r="J46" s="7"/>
      <c r="K46" s="7"/>
      <c r="L46" s="7"/>
      <c r="M46" s="50"/>
      <c r="N46" s="50"/>
      <c r="O46" s="8"/>
      <c r="P46" s="3"/>
      <c r="Q46" s="3"/>
      <c r="R46" s="3"/>
      <c r="S46" s="3"/>
      <c r="T46" s="3"/>
      <c r="V46" s="3"/>
      <c r="W46" s="3"/>
      <c r="X46" s="3"/>
      <c r="Y46" s="3"/>
      <c r="Z46" s="3"/>
      <c r="AA46" s="3"/>
      <c r="AB46" s="3"/>
      <c r="AC46" s="3"/>
      <c r="AD46" s="8"/>
      <c r="AE46" s="8"/>
      <c r="AF46" s="8"/>
    </row>
    <row r="47" spans="1:32" ht="17.45" customHeight="1">
      <c r="A47" s="54"/>
      <c r="B47" s="57"/>
      <c r="C47" s="15" t="s">
        <v>90</v>
      </c>
      <c r="D47" s="6" t="s">
        <v>34</v>
      </c>
      <c r="E47" s="7">
        <v>4</v>
      </c>
      <c r="F47" s="27">
        <v>3</v>
      </c>
      <c r="G47" s="7"/>
      <c r="H47" s="7"/>
      <c r="I47" s="70"/>
      <c r="J47" s="7"/>
      <c r="K47" s="7"/>
      <c r="L47" s="7"/>
      <c r="M47" s="50"/>
      <c r="N47" s="50"/>
      <c r="O47" s="8"/>
      <c r="P47" s="3"/>
      <c r="Q47" s="3"/>
      <c r="R47" s="3"/>
      <c r="S47" s="3"/>
      <c r="T47" s="3"/>
      <c r="V47" s="3"/>
      <c r="W47" s="3"/>
      <c r="X47" s="3"/>
      <c r="Y47" s="3"/>
      <c r="Z47" s="3"/>
      <c r="AA47" s="3"/>
      <c r="AB47" s="3"/>
      <c r="AC47" s="3"/>
      <c r="AD47" s="8"/>
      <c r="AE47" s="8"/>
      <c r="AF47" s="8"/>
    </row>
    <row r="48" spans="1:32" ht="17.45" customHeight="1">
      <c r="A48" s="54"/>
      <c r="B48" s="57" t="s">
        <v>91</v>
      </c>
      <c r="C48" s="15" t="s">
        <v>92</v>
      </c>
      <c r="D48" s="6" t="s">
        <v>145</v>
      </c>
      <c r="E48" s="7">
        <v>4</v>
      </c>
      <c r="F48" s="27">
        <v>3</v>
      </c>
      <c r="G48" s="7"/>
      <c r="H48" s="7"/>
      <c r="I48" s="70"/>
      <c r="J48" s="7"/>
      <c r="K48" s="7"/>
      <c r="L48" s="7"/>
      <c r="M48" s="50"/>
      <c r="N48" s="50"/>
      <c r="O48" s="8"/>
      <c r="P48" s="3"/>
      <c r="Q48" s="3"/>
      <c r="R48" s="3"/>
      <c r="S48" s="3"/>
      <c r="T48" s="3"/>
      <c r="V48" s="3"/>
      <c r="W48" s="3"/>
      <c r="X48" s="3"/>
      <c r="Y48" s="3"/>
      <c r="Z48" s="3"/>
      <c r="AA48" s="3"/>
      <c r="AB48" s="3"/>
      <c r="AC48" s="3"/>
      <c r="AD48" s="8"/>
      <c r="AE48" s="8"/>
      <c r="AF48" s="8"/>
    </row>
    <row r="49" spans="1:32" ht="17.45" customHeight="1">
      <c r="A49" s="54"/>
      <c r="B49" s="57"/>
      <c r="C49" s="15" t="s">
        <v>93</v>
      </c>
      <c r="D49" s="6" t="s">
        <v>145</v>
      </c>
      <c r="E49" s="7">
        <v>4</v>
      </c>
      <c r="F49" s="27">
        <v>3</v>
      </c>
      <c r="G49" s="7"/>
      <c r="H49" s="7"/>
      <c r="I49" s="70"/>
      <c r="J49" s="7"/>
      <c r="K49" s="7"/>
      <c r="L49" s="7"/>
      <c r="M49" s="50"/>
      <c r="N49" s="50"/>
      <c r="O49" s="8"/>
      <c r="P49" s="3"/>
      <c r="Q49" s="3"/>
      <c r="R49" s="3"/>
      <c r="S49" s="3"/>
      <c r="T49" s="3"/>
      <c r="V49" s="3"/>
      <c r="W49" s="3"/>
      <c r="X49" s="3"/>
      <c r="Y49" s="3"/>
      <c r="Z49" s="3"/>
      <c r="AA49" s="3"/>
      <c r="AB49" s="3"/>
      <c r="AC49" s="3"/>
      <c r="AD49" s="8"/>
      <c r="AE49" s="8"/>
      <c r="AF49" s="8"/>
    </row>
    <row r="50" spans="1:32" ht="17.45" customHeight="1">
      <c r="A50" s="54"/>
      <c r="B50" s="57"/>
      <c r="C50" s="15" t="s">
        <v>94</v>
      </c>
      <c r="D50" s="6" t="s">
        <v>145</v>
      </c>
      <c r="E50" s="7">
        <v>4</v>
      </c>
      <c r="F50" s="27">
        <v>3</v>
      </c>
      <c r="G50" s="7"/>
      <c r="H50" s="7"/>
      <c r="I50" s="70"/>
      <c r="J50" s="7"/>
      <c r="K50" s="7"/>
      <c r="L50" s="7"/>
      <c r="M50" s="50"/>
      <c r="N50" s="50"/>
      <c r="O50" s="8"/>
      <c r="P50" s="3"/>
      <c r="Q50" s="3"/>
      <c r="R50" s="3"/>
      <c r="S50" s="3"/>
      <c r="T50" s="3"/>
      <c r="V50" s="3"/>
      <c r="W50" s="3"/>
      <c r="X50" s="3"/>
      <c r="Y50" s="3"/>
      <c r="Z50" s="3"/>
      <c r="AA50" s="3"/>
      <c r="AB50" s="3"/>
      <c r="AC50" s="3"/>
      <c r="AD50" s="8"/>
      <c r="AE50" s="8"/>
      <c r="AF50" s="8"/>
    </row>
    <row r="51" spans="1:32" ht="17.45" customHeight="1">
      <c r="A51" s="54"/>
      <c r="B51" s="57"/>
      <c r="C51" s="15" t="s">
        <v>95</v>
      </c>
      <c r="D51" s="6" t="s">
        <v>66</v>
      </c>
      <c r="E51" s="7">
        <v>4</v>
      </c>
      <c r="F51" s="27">
        <v>3</v>
      </c>
      <c r="G51" s="7"/>
      <c r="H51" s="7"/>
      <c r="I51" s="70"/>
      <c r="J51" s="7"/>
      <c r="K51" s="7"/>
      <c r="L51" s="7"/>
      <c r="M51" s="50"/>
      <c r="N51" s="50"/>
      <c r="O51" s="8"/>
      <c r="P51" s="3"/>
      <c r="Q51" s="3"/>
      <c r="R51" s="3"/>
      <c r="S51" s="3"/>
      <c r="T51" s="3"/>
      <c r="V51" s="3"/>
      <c r="W51" s="3"/>
      <c r="X51" s="3"/>
      <c r="Y51" s="3"/>
      <c r="Z51" s="3"/>
      <c r="AA51" s="3"/>
      <c r="AB51" s="3"/>
      <c r="AC51" s="3"/>
      <c r="AD51" s="8"/>
      <c r="AE51" s="8"/>
      <c r="AF51" s="8"/>
    </row>
    <row r="52" spans="1:32" ht="17.45" customHeight="1">
      <c r="A52" s="54"/>
      <c r="B52" s="9" t="s">
        <v>82</v>
      </c>
      <c r="C52" s="15" t="s">
        <v>100</v>
      </c>
      <c r="D52" s="6" t="s">
        <v>67</v>
      </c>
      <c r="E52" s="7">
        <v>4</v>
      </c>
      <c r="F52" s="27">
        <v>4</v>
      </c>
      <c r="G52" s="7"/>
      <c r="H52" s="7"/>
      <c r="I52" s="32"/>
      <c r="J52" s="58" t="s">
        <v>102</v>
      </c>
      <c r="K52" s="7"/>
      <c r="L52" s="7"/>
      <c r="M52" s="50"/>
      <c r="N52" s="50"/>
      <c r="O52" s="8"/>
      <c r="P52" s="3"/>
      <c r="Q52" s="3"/>
      <c r="R52" s="3"/>
      <c r="S52" s="3"/>
      <c r="T52" s="3"/>
      <c r="V52" s="3"/>
      <c r="W52" s="3"/>
      <c r="X52" s="3"/>
      <c r="Y52" s="3"/>
      <c r="Z52" s="3"/>
      <c r="AA52" s="3"/>
      <c r="AB52" s="3"/>
      <c r="AC52" s="3"/>
      <c r="AD52" s="8"/>
      <c r="AE52" s="8"/>
      <c r="AF52" s="8"/>
    </row>
    <row r="53" spans="1:32" ht="17.45" customHeight="1">
      <c r="A53" s="54"/>
      <c r="B53" s="57" t="s">
        <v>78</v>
      </c>
      <c r="C53" s="15" t="s">
        <v>149</v>
      </c>
      <c r="D53" s="6" t="s">
        <v>146</v>
      </c>
      <c r="E53" s="7">
        <v>4</v>
      </c>
      <c r="F53" s="27">
        <v>4</v>
      </c>
      <c r="G53" s="7"/>
      <c r="H53" s="7"/>
      <c r="I53" s="32"/>
      <c r="J53" s="70"/>
      <c r="K53" s="7"/>
      <c r="L53" s="7"/>
      <c r="M53" s="50"/>
      <c r="N53" s="50"/>
      <c r="O53" s="8"/>
      <c r="P53" s="3"/>
      <c r="Q53" s="3"/>
      <c r="R53" s="3"/>
      <c r="S53" s="3"/>
      <c r="T53" s="3"/>
      <c r="V53" s="3"/>
      <c r="W53" s="3"/>
      <c r="X53" s="3"/>
      <c r="Y53" s="3"/>
      <c r="Z53" s="3"/>
      <c r="AA53" s="3"/>
      <c r="AB53" s="3"/>
      <c r="AC53" s="3"/>
      <c r="AD53" s="8"/>
      <c r="AE53" s="8"/>
      <c r="AF53" s="8"/>
    </row>
    <row r="54" spans="1:32" ht="17.45" customHeight="1">
      <c r="A54" s="54"/>
      <c r="B54" s="57"/>
      <c r="C54" s="15" t="s">
        <v>98</v>
      </c>
      <c r="D54" s="6" t="s">
        <v>145</v>
      </c>
      <c r="E54" s="7">
        <v>4</v>
      </c>
      <c r="F54" s="27">
        <v>4</v>
      </c>
      <c r="G54" s="7"/>
      <c r="H54" s="7"/>
      <c r="I54" s="32"/>
      <c r="J54" s="70"/>
      <c r="K54" s="7"/>
      <c r="L54" s="7"/>
      <c r="M54" s="50"/>
      <c r="N54" s="50"/>
      <c r="O54" s="8"/>
      <c r="P54" s="3"/>
      <c r="Q54" s="3"/>
      <c r="R54" s="3"/>
      <c r="S54" s="3"/>
      <c r="T54" s="3"/>
      <c r="V54" s="3"/>
      <c r="W54" s="3"/>
      <c r="X54" s="3"/>
      <c r="Y54" s="3"/>
      <c r="Z54" s="3"/>
      <c r="AA54" s="3"/>
      <c r="AB54" s="3"/>
      <c r="AC54" s="3"/>
      <c r="AD54" s="8"/>
      <c r="AE54" s="8"/>
      <c r="AF54" s="8"/>
    </row>
    <row r="55" spans="1:32" s="8" customFormat="1" ht="17.45" customHeight="1">
      <c r="A55" s="54"/>
      <c r="B55" s="9" t="s">
        <v>101</v>
      </c>
      <c r="C55" s="15" t="s">
        <v>99</v>
      </c>
      <c r="D55" s="6" t="s">
        <v>34</v>
      </c>
      <c r="E55" s="7">
        <v>4</v>
      </c>
      <c r="F55" s="27">
        <v>4</v>
      </c>
      <c r="G55" s="7"/>
      <c r="H55" s="7"/>
      <c r="I55" s="32"/>
      <c r="J55" s="70"/>
      <c r="K55" s="7"/>
      <c r="L55" s="7"/>
      <c r="M55" s="50"/>
      <c r="N55" s="5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32" s="8" customFormat="1" ht="17.45" customHeight="1">
      <c r="A56" s="54"/>
      <c r="B56" s="57" t="s">
        <v>87</v>
      </c>
      <c r="C56" s="15" t="s">
        <v>109</v>
      </c>
      <c r="D56" s="6" t="s">
        <v>34</v>
      </c>
      <c r="E56" s="7">
        <v>4</v>
      </c>
      <c r="F56" s="27">
        <v>3</v>
      </c>
      <c r="G56" s="7"/>
      <c r="H56" s="7"/>
      <c r="I56" s="7"/>
      <c r="J56" s="58" t="s">
        <v>97</v>
      </c>
      <c r="K56" s="7"/>
      <c r="L56" s="7"/>
      <c r="M56" s="50"/>
      <c r="N56" s="5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32" s="8" customFormat="1" ht="17.45" customHeight="1">
      <c r="A57" s="54"/>
      <c r="B57" s="57"/>
      <c r="C57" s="15" t="s">
        <v>103</v>
      </c>
      <c r="D57" s="6" t="s">
        <v>84</v>
      </c>
      <c r="E57" s="7">
        <v>4</v>
      </c>
      <c r="F57" s="27">
        <v>3</v>
      </c>
      <c r="G57" s="7"/>
      <c r="H57" s="7"/>
      <c r="I57" s="7"/>
      <c r="J57" s="70"/>
      <c r="K57" s="7"/>
      <c r="L57" s="7"/>
      <c r="M57" s="50"/>
      <c r="N57" s="5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32" s="8" customFormat="1" ht="17.45" customHeight="1">
      <c r="A58" s="54"/>
      <c r="B58" s="57"/>
      <c r="C58" s="15" t="s">
        <v>104</v>
      </c>
      <c r="D58" s="6" t="s">
        <v>84</v>
      </c>
      <c r="E58" s="7">
        <v>4</v>
      </c>
      <c r="F58" s="27">
        <v>3</v>
      </c>
      <c r="G58" s="7"/>
      <c r="H58" s="7"/>
      <c r="I58" s="7"/>
      <c r="J58" s="70"/>
      <c r="K58" s="7"/>
      <c r="L58" s="7"/>
      <c r="M58" s="50"/>
      <c r="N58" s="5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32" s="8" customFormat="1" ht="17.45" customHeight="1">
      <c r="A59" s="54"/>
      <c r="B59" s="57"/>
      <c r="C59" s="15" t="s">
        <v>105</v>
      </c>
      <c r="D59" s="6" t="s">
        <v>145</v>
      </c>
      <c r="E59" s="7">
        <v>4</v>
      </c>
      <c r="F59" s="27">
        <v>3</v>
      </c>
      <c r="G59" s="7"/>
      <c r="H59" s="7"/>
      <c r="I59" s="7"/>
      <c r="J59" s="70"/>
      <c r="K59" s="7"/>
      <c r="L59" s="7"/>
      <c r="M59" s="50"/>
      <c r="N59" s="5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32" s="8" customFormat="1" ht="17.45" customHeight="1">
      <c r="A60" s="54"/>
      <c r="B60" s="57" t="s">
        <v>91</v>
      </c>
      <c r="C60" s="15" t="s">
        <v>106</v>
      </c>
      <c r="D60" s="6" t="s">
        <v>84</v>
      </c>
      <c r="E60" s="7">
        <v>4</v>
      </c>
      <c r="F60" s="27">
        <v>3</v>
      </c>
      <c r="G60" s="7"/>
      <c r="H60" s="7"/>
      <c r="I60" s="7"/>
      <c r="J60" s="70"/>
      <c r="K60" s="7"/>
      <c r="L60" s="7"/>
      <c r="M60" s="50"/>
      <c r="N60" s="5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32" s="8" customFormat="1" ht="17.45" customHeight="1">
      <c r="A61" s="54"/>
      <c r="B61" s="57"/>
      <c r="C61" s="15" t="s">
        <v>107</v>
      </c>
      <c r="D61" s="6" t="s">
        <v>84</v>
      </c>
      <c r="E61" s="7">
        <v>4</v>
      </c>
      <c r="F61" s="27">
        <v>3</v>
      </c>
      <c r="G61" s="7"/>
      <c r="H61" s="7"/>
      <c r="I61" s="7"/>
      <c r="J61" s="70"/>
      <c r="K61" s="7"/>
      <c r="L61" s="7"/>
      <c r="M61" s="50"/>
      <c r="N61" s="5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32" s="8" customFormat="1" ht="17.45" customHeight="1">
      <c r="A62" s="54"/>
      <c r="B62" s="57"/>
      <c r="C62" s="15" t="s">
        <v>108</v>
      </c>
      <c r="D62" s="6" t="s">
        <v>34</v>
      </c>
      <c r="E62" s="7">
        <v>4</v>
      </c>
      <c r="F62" s="27">
        <v>3</v>
      </c>
      <c r="G62" s="7"/>
      <c r="H62" s="7"/>
      <c r="I62" s="7"/>
      <c r="J62" s="70"/>
      <c r="K62" s="7"/>
      <c r="L62" s="7"/>
      <c r="M62" s="50"/>
      <c r="N62" s="5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32" s="8" customFormat="1" ht="17.45" customHeight="1">
      <c r="A63" s="54"/>
      <c r="B63" s="57"/>
      <c r="C63" s="15" t="s">
        <v>150</v>
      </c>
      <c r="D63" s="6" t="s">
        <v>27</v>
      </c>
      <c r="E63" s="7">
        <v>4</v>
      </c>
      <c r="F63" s="27">
        <v>3</v>
      </c>
      <c r="G63" s="7"/>
      <c r="H63" s="7"/>
      <c r="I63" s="7"/>
      <c r="J63" s="70"/>
      <c r="K63" s="7"/>
      <c r="L63" s="7"/>
      <c r="M63" s="51"/>
      <c r="N63" s="5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32" s="8" customFormat="1" ht="17.45" customHeight="1">
      <c r="A64" s="54"/>
      <c r="B64" s="58" t="s">
        <v>65</v>
      </c>
      <c r="C64" s="15" t="s">
        <v>110</v>
      </c>
      <c r="D64" s="6" t="s">
        <v>84</v>
      </c>
      <c r="E64" s="7">
        <v>4</v>
      </c>
      <c r="F64" s="27">
        <v>3</v>
      </c>
      <c r="G64" s="7"/>
      <c r="H64" s="7"/>
      <c r="I64" s="7"/>
      <c r="J64" s="7"/>
      <c r="K64" s="58" t="s">
        <v>112</v>
      </c>
      <c r="L64" s="7"/>
      <c r="M64" s="49">
        <v>12</v>
      </c>
      <c r="N64" s="5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s="8" customFormat="1" ht="17.45" customHeight="1">
      <c r="A65" s="54"/>
      <c r="B65" s="58"/>
      <c r="C65" s="15" t="s">
        <v>111</v>
      </c>
      <c r="D65" s="6" t="s">
        <v>34</v>
      </c>
      <c r="E65" s="7">
        <v>4</v>
      </c>
      <c r="F65" s="27">
        <v>3</v>
      </c>
      <c r="G65" s="7"/>
      <c r="H65" s="7"/>
      <c r="I65" s="7"/>
      <c r="J65" s="7"/>
      <c r="K65" s="70"/>
      <c r="L65" s="7"/>
      <c r="M65" s="50"/>
      <c r="N65" s="5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s="8" customFormat="1" ht="18.75" customHeight="1">
      <c r="A66" s="54"/>
      <c r="B66" s="58" t="s">
        <v>87</v>
      </c>
      <c r="C66" s="15" t="s">
        <v>147</v>
      </c>
      <c r="D66" s="6" t="s">
        <v>51</v>
      </c>
      <c r="E66" s="7">
        <v>4</v>
      </c>
      <c r="F66" s="27">
        <v>3</v>
      </c>
      <c r="G66" s="7"/>
      <c r="H66" s="7"/>
      <c r="I66" s="7"/>
      <c r="J66" s="7"/>
      <c r="K66" s="58" t="s">
        <v>97</v>
      </c>
      <c r="L66" s="7"/>
      <c r="M66" s="50"/>
      <c r="N66" s="50"/>
      <c r="P66" s="3"/>
      <c r="Q66" s="3"/>
      <c r="R66" s="3"/>
      <c r="S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s="8" customFormat="1" ht="18.75" customHeight="1">
      <c r="A67" s="54"/>
      <c r="B67" s="58"/>
      <c r="C67" s="15" t="s">
        <v>113</v>
      </c>
      <c r="D67" s="6" t="s">
        <v>84</v>
      </c>
      <c r="E67" s="7">
        <v>4</v>
      </c>
      <c r="F67" s="27">
        <v>3</v>
      </c>
      <c r="G67" s="7"/>
      <c r="H67" s="7"/>
      <c r="I67" s="7"/>
      <c r="J67" s="7"/>
      <c r="K67" s="70"/>
      <c r="L67" s="7"/>
      <c r="M67" s="50"/>
      <c r="N67" s="50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s="8" customFormat="1" ht="18.75" customHeight="1">
      <c r="A68" s="54"/>
      <c r="B68" s="58"/>
      <c r="C68" s="15" t="s">
        <v>114</v>
      </c>
      <c r="D68" s="6" t="s">
        <v>84</v>
      </c>
      <c r="E68" s="7">
        <v>4</v>
      </c>
      <c r="F68" s="27">
        <v>3</v>
      </c>
      <c r="G68" s="7"/>
      <c r="H68" s="7"/>
      <c r="I68" s="7"/>
      <c r="J68" s="7"/>
      <c r="K68" s="70"/>
      <c r="L68" s="7"/>
      <c r="M68" s="50"/>
      <c r="N68" s="50"/>
      <c r="P68" s="3"/>
      <c r="Q68" s="3"/>
      <c r="R68" s="3"/>
      <c r="S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s="8" customFormat="1" ht="18.75" customHeight="1">
      <c r="A69" s="54"/>
      <c r="B69" s="58"/>
      <c r="C69" s="15" t="s">
        <v>115</v>
      </c>
      <c r="D69" s="6" t="s">
        <v>84</v>
      </c>
      <c r="E69" s="7">
        <v>4</v>
      </c>
      <c r="F69" s="27">
        <v>3</v>
      </c>
      <c r="G69" s="7"/>
      <c r="H69" s="7"/>
      <c r="I69" s="7"/>
      <c r="J69" s="7"/>
      <c r="K69" s="70"/>
      <c r="L69" s="7"/>
      <c r="M69" s="50"/>
      <c r="N69" s="50"/>
      <c r="P69" s="3"/>
      <c r="Q69" s="3"/>
      <c r="R69" s="3"/>
      <c r="S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s="8" customFormat="1" ht="18.75" customHeight="1">
      <c r="A70" s="54"/>
      <c r="B70" s="58" t="s">
        <v>91</v>
      </c>
      <c r="C70" s="15" t="s">
        <v>116</v>
      </c>
      <c r="D70" s="6" t="s">
        <v>84</v>
      </c>
      <c r="E70" s="7">
        <v>4</v>
      </c>
      <c r="F70" s="27">
        <v>3</v>
      </c>
      <c r="G70" s="7"/>
      <c r="H70" s="7"/>
      <c r="I70" s="7"/>
      <c r="J70" s="7"/>
      <c r="K70" s="70"/>
      <c r="L70" s="7"/>
      <c r="M70" s="50"/>
      <c r="N70" s="50"/>
      <c r="P70" s="3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s="8" customFormat="1" ht="18.75" customHeight="1">
      <c r="A71" s="54"/>
      <c r="B71" s="58"/>
      <c r="C71" s="15" t="s">
        <v>117</v>
      </c>
      <c r="D71" s="6" t="s">
        <v>84</v>
      </c>
      <c r="E71" s="7">
        <v>4</v>
      </c>
      <c r="F71" s="27">
        <v>3</v>
      </c>
      <c r="G71" s="7"/>
      <c r="H71" s="7"/>
      <c r="I71" s="7"/>
      <c r="J71" s="7"/>
      <c r="K71" s="70"/>
      <c r="L71" s="7"/>
      <c r="M71" s="50"/>
      <c r="N71" s="50"/>
      <c r="P71" s="3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s="8" customFormat="1" ht="18.75" customHeight="1">
      <c r="A72" s="54"/>
      <c r="B72" s="58"/>
      <c r="C72" s="15" t="s">
        <v>118</v>
      </c>
      <c r="D72" s="6" t="s">
        <v>84</v>
      </c>
      <c r="E72" s="7">
        <v>4</v>
      </c>
      <c r="F72" s="27">
        <v>3</v>
      </c>
      <c r="G72" s="7"/>
      <c r="H72" s="7"/>
      <c r="I72" s="7"/>
      <c r="J72" s="7"/>
      <c r="K72" s="70"/>
      <c r="L72" s="7"/>
      <c r="M72" s="50"/>
      <c r="N72" s="50"/>
      <c r="P72" s="3"/>
      <c r="Q72" s="3"/>
      <c r="R72" s="3"/>
      <c r="S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s="8" customFormat="1" ht="18.75" customHeight="1">
      <c r="A73" s="54"/>
      <c r="B73" s="58"/>
      <c r="C73" s="15" t="s">
        <v>119</v>
      </c>
      <c r="D73" s="6" t="s">
        <v>34</v>
      </c>
      <c r="E73" s="7">
        <v>4</v>
      </c>
      <c r="F73" s="27">
        <v>3</v>
      </c>
      <c r="G73" s="7"/>
      <c r="H73" s="7"/>
      <c r="I73" s="7"/>
      <c r="J73" s="7"/>
      <c r="K73" s="70"/>
      <c r="L73" s="7"/>
      <c r="M73" s="51"/>
      <c r="N73" s="50"/>
      <c r="P73" s="3"/>
      <c r="Q73" s="3"/>
      <c r="R73" s="3"/>
      <c r="S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s="8" customFormat="1" ht="17.45" customHeight="1">
      <c r="A74" s="54"/>
      <c r="B74" s="57" t="s">
        <v>82</v>
      </c>
      <c r="C74" s="22" t="s">
        <v>123</v>
      </c>
      <c r="D74" s="6" t="s">
        <v>67</v>
      </c>
      <c r="E74" s="7">
        <v>4</v>
      </c>
      <c r="F74" s="33">
        <v>3</v>
      </c>
      <c r="G74" s="16"/>
      <c r="H74" s="18"/>
      <c r="I74" s="16"/>
      <c r="J74" s="16"/>
      <c r="K74" s="16"/>
      <c r="L74" s="67" t="s">
        <v>124</v>
      </c>
      <c r="M74" s="74">
        <v>15</v>
      </c>
      <c r="N74" s="50"/>
      <c r="P74" s="3"/>
      <c r="Q74" s="3"/>
      <c r="R74" s="3"/>
      <c r="S74" s="3"/>
      <c r="T74" s="3"/>
      <c r="U74" s="17"/>
      <c r="V74" s="3"/>
      <c r="W74" s="3"/>
      <c r="X74" s="3"/>
      <c r="Y74" s="3"/>
      <c r="Z74" s="3"/>
      <c r="AA74" s="3"/>
      <c r="AB74" s="3"/>
      <c r="AC74" s="3"/>
    </row>
    <row r="75" spans="1:29" s="8" customFormat="1" ht="17.45" customHeight="1">
      <c r="A75" s="54"/>
      <c r="B75" s="57"/>
      <c r="C75" s="22" t="s">
        <v>120</v>
      </c>
      <c r="D75" s="6" t="s">
        <v>146</v>
      </c>
      <c r="E75" s="7">
        <v>4</v>
      </c>
      <c r="F75" s="33">
        <v>3</v>
      </c>
      <c r="G75" s="16"/>
      <c r="H75" s="18"/>
      <c r="I75" s="16"/>
      <c r="J75" s="16"/>
      <c r="K75" s="16"/>
      <c r="L75" s="68"/>
      <c r="M75" s="75"/>
      <c r="N75" s="50"/>
      <c r="P75" s="3"/>
      <c r="Q75" s="3"/>
      <c r="R75" s="3"/>
      <c r="S75" s="3"/>
      <c r="T75" s="3"/>
      <c r="U75" s="17"/>
      <c r="V75" s="3"/>
      <c r="W75" s="3"/>
      <c r="X75" s="3"/>
      <c r="Y75" s="3"/>
      <c r="Z75" s="3"/>
      <c r="AA75" s="3"/>
      <c r="AB75" s="3"/>
      <c r="AC75" s="3"/>
    </row>
    <row r="76" spans="1:29" s="8" customFormat="1" ht="17.45" customHeight="1">
      <c r="A76" s="54"/>
      <c r="B76" s="9" t="s">
        <v>78</v>
      </c>
      <c r="C76" s="22" t="s">
        <v>121</v>
      </c>
      <c r="D76" s="6" t="s">
        <v>146</v>
      </c>
      <c r="E76" s="7">
        <v>4</v>
      </c>
      <c r="F76" s="33">
        <v>3</v>
      </c>
      <c r="G76" s="16"/>
      <c r="H76" s="18"/>
      <c r="I76" s="16"/>
      <c r="J76" s="16"/>
      <c r="K76" s="16"/>
      <c r="L76" s="68"/>
      <c r="M76" s="75"/>
      <c r="N76" s="50"/>
      <c r="P76" s="3"/>
      <c r="Q76" s="3"/>
      <c r="R76" s="3"/>
      <c r="S76" s="3"/>
      <c r="T76" s="3"/>
      <c r="U76" s="17"/>
      <c r="V76" s="3"/>
      <c r="W76" s="3"/>
      <c r="X76" s="3"/>
      <c r="Y76" s="3"/>
      <c r="Z76" s="3"/>
      <c r="AA76" s="3"/>
      <c r="AB76" s="3"/>
      <c r="AC76" s="3"/>
    </row>
    <row r="77" spans="1:29" s="8" customFormat="1" ht="17.45" customHeight="1">
      <c r="A77" s="54"/>
      <c r="B77" s="57" t="s">
        <v>101</v>
      </c>
      <c r="C77" s="22" t="s">
        <v>151</v>
      </c>
      <c r="D77" s="6" t="s">
        <v>84</v>
      </c>
      <c r="E77" s="7">
        <v>4</v>
      </c>
      <c r="F77" s="33">
        <v>3</v>
      </c>
      <c r="G77" s="16"/>
      <c r="H77" s="18"/>
      <c r="I77" s="16"/>
      <c r="J77" s="16"/>
      <c r="K77" s="16"/>
      <c r="L77" s="68"/>
      <c r="M77" s="75"/>
      <c r="N77" s="50"/>
      <c r="P77" s="3"/>
      <c r="Q77" s="3"/>
      <c r="R77" s="3"/>
      <c r="S77" s="3"/>
      <c r="T77" s="3"/>
      <c r="U77" s="17"/>
      <c r="V77" s="3"/>
      <c r="W77" s="3"/>
      <c r="X77" s="3"/>
      <c r="Y77" s="3"/>
      <c r="Z77" s="3"/>
      <c r="AA77" s="3"/>
      <c r="AB77" s="3"/>
      <c r="AC77" s="3"/>
    </row>
    <row r="78" spans="1:29" s="8" customFormat="1" ht="17.45" customHeight="1">
      <c r="A78" s="54"/>
      <c r="B78" s="57"/>
      <c r="C78" s="22" t="s">
        <v>122</v>
      </c>
      <c r="D78" s="6" t="s">
        <v>51</v>
      </c>
      <c r="E78" s="7">
        <v>4</v>
      </c>
      <c r="F78" s="33">
        <v>3</v>
      </c>
      <c r="G78" s="16"/>
      <c r="H78" s="18"/>
      <c r="I78" s="16"/>
      <c r="J78" s="16"/>
      <c r="K78" s="16"/>
      <c r="L78" s="68"/>
      <c r="M78" s="75"/>
      <c r="N78" s="5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s="8" customFormat="1" ht="17.45" customHeight="1">
      <c r="A79" s="54"/>
      <c r="B79" s="59" t="s">
        <v>87</v>
      </c>
      <c r="C79" s="15" t="s">
        <v>131</v>
      </c>
      <c r="D79" s="6" t="s">
        <v>34</v>
      </c>
      <c r="E79" s="7">
        <v>4</v>
      </c>
      <c r="F79" s="33">
        <v>3</v>
      </c>
      <c r="G79" s="16"/>
      <c r="H79" s="18"/>
      <c r="I79" s="16"/>
      <c r="J79" s="16"/>
      <c r="K79" s="16"/>
      <c r="L79" s="67" t="s">
        <v>97</v>
      </c>
      <c r="M79" s="75"/>
      <c r="N79" s="5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s="8" customFormat="1" ht="17.45" customHeight="1">
      <c r="A80" s="54"/>
      <c r="B80" s="59"/>
      <c r="C80" s="15" t="s">
        <v>125</v>
      </c>
      <c r="D80" s="6" t="s">
        <v>146</v>
      </c>
      <c r="E80" s="7">
        <v>4</v>
      </c>
      <c r="F80" s="33">
        <v>3</v>
      </c>
      <c r="G80" s="16"/>
      <c r="H80" s="18"/>
      <c r="I80" s="16"/>
      <c r="J80" s="16"/>
      <c r="K80" s="16"/>
      <c r="L80" s="68"/>
      <c r="M80" s="75"/>
      <c r="N80" s="5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s="8" customFormat="1" ht="17.45" customHeight="1">
      <c r="A81" s="54"/>
      <c r="B81" s="59"/>
      <c r="C81" s="15" t="s">
        <v>126</v>
      </c>
      <c r="D81" s="6" t="s">
        <v>146</v>
      </c>
      <c r="E81" s="7">
        <v>4</v>
      </c>
      <c r="F81" s="33">
        <v>3</v>
      </c>
      <c r="G81" s="16"/>
      <c r="H81" s="18"/>
      <c r="I81" s="16"/>
      <c r="J81" s="16"/>
      <c r="K81" s="16"/>
      <c r="L81" s="68"/>
      <c r="M81" s="75"/>
      <c r="N81" s="5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s="8" customFormat="1" ht="17.45" customHeight="1">
      <c r="A82" s="54"/>
      <c r="B82" s="59"/>
      <c r="C82" s="15" t="s">
        <v>127</v>
      </c>
      <c r="D82" s="6" t="s">
        <v>146</v>
      </c>
      <c r="E82" s="7">
        <v>4</v>
      </c>
      <c r="F82" s="33">
        <v>3</v>
      </c>
      <c r="G82" s="16"/>
      <c r="H82" s="18"/>
      <c r="I82" s="16"/>
      <c r="J82" s="16"/>
      <c r="K82" s="16"/>
      <c r="L82" s="68"/>
      <c r="M82" s="75"/>
      <c r="N82" s="5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s="8" customFormat="1" ht="17.45" customHeight="1">
      <c r="A83" s="54"/>
      <c r="B83" s="59" t="s">
        <v>91</v>
      </c>
      <c r="C83" s="15" t="s">
        <v>128</v>
      </c>
      <c r="D83" s="6" t="s">
        <v>146</v>
      </c>
      <c r="E83" s="7">
        <v>4</v>
      </c>
      <c r="F83" s="33">
        <v>3</v>
      </c>
      <c r="G83" s="16"/>
      <c r="H83" s="18"/>
      <c r="I83" s="16"/>
      <c r="J83" s="16"/>
      <c r="K83" s="16"/>
      <c r="L83" s="68"/>
      <c r="M83" s="75"/>
      <c r="N83" s="5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s="8" customFormat="1" ht="17.25" customHeight="1">
      <c r="A84" s="54"/>
      <c r="B84" s="59"/>
      <c r="C84" s="15" t="s">
        <v>129</v>
      </c>
      <c r="D84" s="6" t="s">
        <v>67</v>
      </c>
      <c r="E84" s="16">
        <v>4</v>
      </c>
      <c r="F84" s="33">
        <v>3</v>
      </c>
      <c r="G84" s="16"/>
      <c r="H84" s="18"/>
      <c r="I84" s="16"/>
      <c r="J84" s="16"/>
      <c r="K84" s="16"/>
      <c r="L84" s="68"/>
      <c r="M84" s="75"/>
      <c r="N84" s="5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s="8" customFormat="1" ht="18" customHeight="1">
      <c r="A85" s="54"/>
      <c r="B85" s="59"/>
      <c r="C85" s="15" t="s">
        <v>130</v>
      </c>
      <c r="D85" s="6" t="s">
        <v>51</v>
      </c>
      <c r="E85" s="16">
        <v>4</v>
      </c>
      <c r="F85" s="33">
        <v>3</v>
      </c>
      <c r="G85" s="16"/>
      <c r="H85" s="18"/>
      <c r="I85" s="16"/>
      <c r="J85" s="16"/>
      <c r="K85" s="16"/>
      <c r="L85" s="68"/>
      <c r="M85" s="76"/>
      <c r="N85" s="5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s="8" customFormat="1" ht="17.45" customHeight="1">
      <c r="A86" s="54"/>
      <c r="B86" s="59" t="s">
        <v>63</v>
      </c>
      <c r="C86" s="22" t="s">
        <v>132</v>
      </c>
      <c r="D86" s="6" t="s">
        <v>17</v>
      </c>
      <c r="E86" s="16">
        <v>3</v>
      </c>
      <c r="F86" s="33">
        <v>2</v>
      </c>
      <c r="G86" s="72" t="s">
        <v>136</v>
      </c>
      <c r="H86" s="18"/>
      <c r="I86" s="16"/>
      <c r="J86" s="16"/>
      <c r="K86" s="16"/>
      <c r="L86" s="16"/>
      <c r="M86" s="71">
        <v>10</v>
      </c>
      <c r="N86" s="49">
        <v>10</v>
      </c>
      <c r="P86" s="3"/>
      <c r="Q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s="8" customFormat="1" ht="17.45" customHeight="1">
      <c r="A87" s="54"/>
      <c r="B87" s="59"/>
      <c r="C87" s="22" t="s">
        <v>133</v>
      </c>
      <c r="D87" s="6" t="s">
        <v>17</v>
      </c>
      <c r="E87" s="16">
        <v>3</v>
      </c>
      <c r="F87" s="33">
        <v>2</v>
      </c>
      <c r="G87" s="73"/>
      <c r="H87" s="18"/>
      <c r="I87" s="16"/>
      <c r="J87" s="16"/>
      <c r="K87" s="16"/>
      <c r="L87" s="16"/>
      <c r="M87" s="71"/>
      <c r="N87" s="50"/>
      <c r="P87" s="3"/>
      <c r="Q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s="8" customFormat="1" ht="17.45" customHeight="1">
      <c r="A88" s="54"/>
      <c r="B88" s="59"/>
      <c r="C88" s="22" t="s">
        <v>134</v>
      </c>
      <c r="D88" s="6" t="s">
        <v>17</v>
      </c>
      <c r="E88" s="16">
        <v>3</v>
      </c>
      <c r="F88" s="33">
        <v>2</v>
      </c>
      <c r="G88" s="16"/>
      <c r="H88" s="72" t="s">
        <v>136</v>
      </c>
      <c r="I88" s="16"/>
      <c r="J88" s="16"/>
      <c r="K88" s="16"/>
      <c r="L88" s="16"/>
      <c r="M88" s="71"/>
      <c r="N88" s="50"/>
      <c r="P88" s="3"/>
      <c r="Q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s="8" customFormat="1" ht="17.45" customHeight="1">
      <c r="A89" s="54"/>
      <c r="B89" s="59"/>
      <c r="C89" s="22" t="s">
        <v>135</v>
      </c>
      <c r="D89" s="6" t="s">
        <v>17</v>
      </c>
      <c r="E89" s="16">
        <v>3</v>
      </c>
      <c r="F89" s="34">
        <v>2</v>
      </c>
      <c r="G89" s="16"/>
      <c r="H89" s="73"/>
      <c r="I89" s="16"/>
      <c r="J89" s="16"/>
      <c r="K89" s="16"/>
      <c r="L89" s="16"/>
      <c r="M89" s="71"/>
      <c r="N89" s="5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s="8" customFormat="1" ht="17.45" customHeight="1">
      <c r="A90" s="54"/>
      <c r="B90" s="59"/>
      <c r="C90" s="22" t="s">
        <v>139</v>
      </c>
      <c r="D90" s="6" t="s">
        <v>34</v>
      </c>
      <c r="E90" s="16">
        <v>3</v>
      </c>
      <c r="F90" s="34">
        <v>3</v>
      </c>
      <c r="G90" s="16"/>
      <c r="H90" s="18"/>
      <c r="I90" s="16"/>
      <c r="J90" s="16"/>
      <c r="K90" s="72" t="s">
        <v>112</v>
      </c>
      <c r="L90" s="16"/>
      <c r="M90" s="71"/>
      <c r="N90" s="5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s="8" customFormat="1" ht="17.45" customHeight="1">
      <c r="A91" s="54"/>
      <c r="B91" s="59"/>
      <c r="C91" s="22" t="s">
        <v>137</v>
      </c>
      <c r="D91" s="6" t="s">
        <v>34</v>
      </c>
      <c r="E91" s="16">
        <v>3</v>
      </c>
      <c r="F91" s="34">
        <v>3</v>
      </c>
      <c r="G91" s="16"/>
      <c r="H91" s="18"/>
      <c r="I91" s="16"/>
      <c r="J91" s="16"/>
      <c r="K91" s="73"/>
      <c r="L91" s="16"/>
      <c r="M91" s="71"/>
      <c r="N91" s="5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s="8" customFormat="1" ht="17.45" customHeight="1">
      <c r="A92" s="54"/>
      <c r="B92" s="59"/>
      <c r="C92" s="22" t="s">
        <v>138</v>
      </c>
      <c r="D92" s="6" t="s">
        <v>34</v>
      </c>
      <c r="E92" s="16">
        <v>3</v>
      </c>
      <c r="F92" s="34">
        <v>3</v>
      </c>
      <c r="G92" s="16"/>
      <c r="H92" s="18"/>
      <c r="I92" s="16"/>
      <c r="J92" s="16"/>
      <c r="K92" s="16"/>
      <c r="L92" s="72" t="s">
        <v>112</v>
      </c>
      <c r="M92" s="71"/>
      <c r="N92" s="5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s="8" customFormat="1" ht="17.45" customHeight="1">
      <c r="A93" s="54"/>
      <c r="B93" s="59"/>
      <c r="C93" s="22" t="s">
        <v>137</v>
      </c>
      <c r="D93" s="6" t="s">
        <v>34</v>
      </c>
      <c r="E93" s="16">
        <v>3</v>
      </c>
      <c r="F93" s="34">
        <v>3</v>
      </c>
      <c r="G93" s="16"/>
      <c r="H93" s="18"/>
      <c r="I93" s="16"/>
      <c r="J93" s="16"/>
      <c r="K93" s="16"/>
      <c r="L93" s="73"/>
      <c r="M93" s="71"/>
      <c r="N93" s="51"/>
      <c r="P93" s="3"/>
      <c r="Q93" s="3"/>
      <c r="R93" s="3"/>
      <c r="S93" s="3"/>
      <c r="T93" s="19"/>
      <c r="U93" s="20"/>
      <c r="V93" s="20"/>
      <c r="W93" s="20"/>
      <c r="X93" s="20"/>
      <c r="Y93" s="21"/>
      <c r="Z93" s="19"/>
      <c r="AA93" s="3"/>
      <c r="AB93" s="3"/>
      <c r="AC93" s="3"/>
    </row>
    <row r="94" spans="1:29" s="8" customFormat="1" ht="17.45" customHeight="1">
      <c r="A94" s="54"/>
      <c r="B94" s="59" t="s">
        <v>59</v>
      </c>
      <c r="C94" s="22" t="s">
        <v>140</v>
      </c>
      <c r="D94" s="23" t="s">
        <v>34</v>
      </c>
      <c r="E94" s="16">
        <v>3</v>
      </c>
      <c r="F94" s="34">
        <v>3</v>
      </c>
      <c r="G94" s="16"/>
      <c r="H94" s="18"/>
      <c r="I94" s="16"/>
      <c r="J94" s="16"/>
      <c r="K94" s="72" t="s">
        <v>112</v>
      </c>
      <c r="L94" s="16"/>
      <c r="M94" s="71">
        <v>6</v>
      </c>
      <c r="N94" s="49"/>
      <c r="P94" s="3"/>
      <c r="Q94" s="3"/>
      <c r="R94" s="3"/>
      <c r="S94" s="3"/>
      <c r="T94" s="19"/>
      <c r="U94" s="20"/>
      <c r="V94" s="20"/>
      <c r="W94" s="20"/>
      <c r="X94" s="20"/>
      <c r="Y94" s="21"/>
      <c r="Z94" s="19"/>
      <c r="AA94" s="3"/>
      <c r="AB94" s="3"/>
      <c r="AC94" s="3"/>
    </row>
    <row r="95" spans="1:29" s="8" customFormat="1" ht="17.45" customHeight="1">
      <c r="A95" s="54"/>
      <c r="B95" s="59"/>
      <c r="C95" s="22" t="s">
        <v>141</v>
      </c>
      <c r="D95" s="23" t="s">
        <v>84</v>
      </c>
      <c r="E95" s="16">
        <v>3</v>
      </c>
      <c r="F95" s="34">
        <v>3</v>
      </c>
      <c r="G95" s="16"/>
      <c r="H95" s="18"/>
      <c r="I95" s="16"/>
      <c r="J95" s="16"/>
      <c r="K95" s="77"/>
      <c r="L95" s="16"/>
      <c r="M95" s="71"/>
      <c r="N95" s="50"/>
      <c r="P95" s="3"/>
      <c r="Q95" s="3"/>
      <c r="R95" s="3"/>
      <c r="S95" s="3"/>
      <c r="T95" s="19"/>
      <c r="U95" s="20"/>
      <c r="V95" s="20"/>
      <c r="W95" s="20"/>
      <c r="X95" s="20"/>
      <c r="Y95" s="21"/>
      <c r="Z95" s="19"/>
      <c r="AA95" s="3"/>
      <c r="AB95" s="3"/>
      <c r="AC95" s="3"/>
    </row>
    <row r="96" spans="1:29" s="8" customFormat="1" ht="17.45" customHeight="1">
      <c r="A96" s="54"/>
      <c r="B96" s="59"/>
      <c r="C96" s="22" t="s">
        <v>142</v>
      </c>
      <c r="D96" s="23" t="s">
        <v>84</v>
      </c>
      <c r="E96" s="16">
        <v>3</v>
      </c>
      <c r="F96" s="34">
        <v>3</v>
      </c>
      <c r="G96" s="16"/>
      <c r="H96" s="18"/>
      <c r="I96" s="16"/>
      <c r="J96" s="16"/>
      <c r="K96" s="77"/>
      <c r="L96" s="16"/>
      <c r="M96" s="71"/>
      <c r="N96" s="50"/>
      <c r="P96" s="3"/>
      <c r="Q96" s="3"/>
      <c r="R96" s="3"/>
      <c r="S96" s="3"/>
      <c r="T96" s="19"/>
      <c r="U96" s="20"/>
      <c r="V96" s="20"/>
      <c r="W96" s="20"/>
      <c r="X96" s="20"/>
      <c r="Y96" s="21"/>
      <c r="Z96" s="19"/>
      <c r="AA96" s="3"/>
      <c r="AB96" s="3"/>
      <c r="AC96" s="3"/>
    </row>
    <row r="97" spans="1:29" s="8" customFormat="1" ht="17.45" customHeight="1">
      <c r="A97" s="54"/>
      <c r="B97" s="59"/>
      <c r="C97" s="22" t="s">
        <v>143</v>
      </c>
      <c r="D97" s="23" t="s">
        <v>84</v>
      </c>
      <c r="E97" s="16">
        <v>3</v>
      </c>
      <c r="F97" s="34">
        <v>3</v>
      </c>
      <c r="G97" s="16"/>
      <c r="H97" s="18"/>
      <c r="I97" s="16"/>
      <c r="J97" s="16"/>
      <c r="K97" s="77"/>
      <c r="L97" s="16"/>
      <c r="M97" s="71"/>
      <c r="N97" s="50"/>
      <c r="P97" s="3"/>
      <c r="Q97" s="3"/>
      <c r="R97" s="3"/>
      <c r="S97" s="3"/>
      <c r="T97" s="19"/>
      <c r="U97" s="20"/>
      <c r="V97" s="20"/>
      <c r="W97" s="20"/>
      <c r="X97" s="20"/>
      <c r="Y97" s="21"/>
      <c r="Z97" s="19"/>
      <c r="AA97" s="3"/>
      <c r="AB97" s="3"/>
      <c r="AC97" s="3"/>
    </row>
    <row r="98" spans="1:29" s="8" customFormat="1" ht="17.45" customHeight="1">
      <c r="A98" s="54"/>
      <c r="B98" s="59"/>
      <c r="C98" s="22" t="s">
        <v>144</v>
      </c>
      <c r="D98" s="23" t="s">
        <v>146</v>
      </c>
      <c r="E98" s="16">
        <v>3</v>
      </c>
      <c r="F98" s="34">
        <v>3</v>
      </c>
      <c r="G98" s="16"/>
      <c r="H98" s="18"/>
      <c r="I98" s="16"/>
      <c r="J98" s="16"/>
      <c r="K98" s="73"/>
      <c r="L98" s="16"/>
      <c r="M98" s="71"/>
      <c r="N98" s="50"/>
      <c r="P98" s="3"/>
      <c r="Q98" s="3"/>
      <c r="R98" s="3"/>
      <c r="S98" s="3"/>
      <c r="T98" s="19"/>
      <c r="U98" s="20"/>
      <c r="V98" s="20"/>
      <c r="W98" s="20"/>
      <c r="X98" s="20"/>
      <c r="Y98" s="21"/>
      <c r="Z98" s="19"/>
      <c r="AA98" s="3"/>
      <c r="AB98" s="3"/>
      <c r="AC98" s="3"/>
    </row>
    <row r="99" spans="1:29" s="8" customFormat="1" ht="17.45" customHeight="1">
      <c r="A99" s="54"/>
      <c r="B99" s="59"/>
      <c r="C99" s="22" t="s">
        <v>140</v>
      </c>
      <c r="D99" s="23" t="s">
        <v>34</v>
      </c>
      <c r="E99" s="16">
        <v>3</v>
      </c>
      <c r="F99" s="34">
        <v>3</v>
      </c>
      <c r="G99" s="16"/>
      <c r="H99" s="18"/>
      <c r="I99" s="16"/>
      <c r="J99" s="16"/>
      <c r="K99" s="16"/>
      <c r="L99" s="72" t="s">
        <v>112</v>
      </c>
      <c r="M99" s="71"/>
      <c r="N99" s="50"/>
      <c r="P99" s="3"/>
      <c r="Q99" s="3"/>
      <c r="R99" s="3"/>
      <c r="S99" s="3"/>
      <c r="T99" s="19"/>
      <c r="U99" s="20"/>
      <c r="V99" s="20"/>
      <c r="W99" s="20"/>
      <c r="X99" s="20"/>
      <c r="Y99" s="21"/>
      <c r="Z99" s="19"/>
      <c r="AA99" s="3"/>
      <c r="AB99" s="3"/>
      <c r="AC99" s="3"/>
    </row>
    <row r="100" spans="1:29" s="8" customFormat="1" ht="17.45" customHeight="1">
      <c r="A100" s="54"/>
      <c r="B100" s="59"/>
      <c r="C100" s="22" t="s">
        <v>141</v>
      </c>
      <c r="D100" s="23" t="s">
        <v>84</v>
      </c>
      <c r="E100" s="16">
        <v>3</v>
      </c>
      <c r="F100" s="34">
        <v>3</v>
      </c>
      <c r="G100" s="16"/>
      <c r="H100" s="18"/>
      <c r="I100" s="16"/>
      <c r="J100" s="16"/>
      <c r="K100" s="16"/>
      <c r="L100" s="77"/>
      <c r="M100" s="71"/>
      <c r="N100" s="50"/>
      <c r="P100" s="3"/>
      <c r="Q100" s="3"/>
      <c r="R100" s="3"/>
      <c r="S100" s="3"/>
      <c r="T100" s="19"/>
      <c r="U100" s="20"/>
      <c r="V100" s="20"/>
      <c r="W100" s="20"/>
      <c r="X100" s="20"/>
      <c r="Y100" s="21"/>
      <c r="Z100" s="19"/>
      <c r="AA100" s="3"/>
      <c r="AB100" s="3"/>
      <c r="AC100" s="3"/>
    </row>
    <row r="101" spans="1:29" s="8" customFormat="1" ht="17.45" customHeight="1">
      <c r="A101" s="54"/>
      <c r="B101" s="59"/>
      <c r="C101" s="22" t="s">
        <v>142</v>
      </c>
      <c r="D101" s="23" t="s">
        <v>84</v>
      </c>
      <c r="E101" s="16">
        <v>3</v>
      </c>
      <c r="F101" s="34">
        <v>3</v>
      </c>
      <c r="G101" s="16"/>
      <c r="H101" s="18"/>
      <c r="I101" s="16"/>
      <c r="J101" s="16"/>
      <c r="K101" s="16"/>
      <c r="L101" s="77"/>
      <c r="M101" s="71"/>
      <c r="N101" s="50"/>
      <c r="P101" s="3"/>
      <c r="Q101" s="3"/>
      <c r="R101" s="3"/>
      <c r="S101" s="3"/>
      <c r="T101" s="19"/>
      <c r="U101" s="20"/>
      <c r="V101" s="20"/>
      <c r="W101" s="20"/>
      <c r="X101" s="20"/>
      <c r="Y101" s="21"/>
      <c r="Z101" s="19"/>
      <c r="AA101" s="3"/>
      <c r="AB101" s="3"/>
      <c r="AC101" s="3"/>
    </row>
    <row r="102" spans="1:29" s="8" customFormat="1" ht="17.45" customHeight="1">
      <c r="A102" s="54"/>
      <c r="B102" s="59"/>
      <c r="C102" s="22" t="s">
        <v>143</v>
      </c>
      <c r="D102" s="23" t="s">
        <v>84</v>
      </c>
      <c r="E102" s="16">
        <v>3</v>
      </c>
      <c r="F102" s="34">
        <v>3</v>
      </c>
      <c r="G102" s="16"/>
      <c r="H102" s="18"/>
      <c r="I102" s="16"/>
      <c r="J102" s="16"/>
      <c r="K102" s="16"/>
      <c r="L102" s="77"/>
      <c r="M102" s="71"/>
      <c r="N102" s="50"/>
      <c r="P102" s="3"/>
      <c r="Q102" s="3"/>
      <c r="R102" s="3"/>
      <c r="S102" s="3"/>
      <c r="T102" s="19"/>
      <c r="U102" s="20"/>
      <c r="V102" s="20"/>
      <c r="W102" s="20"/>
      <c r="X102" s="20"/>
      <c r="Y102" s="21"/>
      <c r="Z102" s="19"/>
      <c r="AA102" s="3"/>
      <c r="AB102" s="3"/>
      <c r="AC102" s="3"/>
    </row>
    <row r="103" spans="1:29" s="8" customFormat="1" ht="16.5">
      <c r="A103" s="54"/>
      <c r="B103" s="59"/>
      <c r="C103" s="22" t="s">
        <v>144</v>
      </c>
      <c r="D103" s="23" t="s">
        <v>146</v>
      </c>
      <c r="E103" s="16">
        <v>3</v>
      </c>
      <c r="F103" s="34">
        <v>3</v>
      </c>
      <c r="G103" s="16"/>
      <c r="H103" s="18"/>
      <c r="I103" s="16"/>
      <c r="J103" s="16"/>
      <c r="K103" s="16"/>
      <c r="L103" s="73"/>
      <c r="M103" s="71"/>
      <c r="N103" s="51"/>
      <c r="P103" s="3"/>
      <c r="Q103" s="3"/>
      <c r="R103" s="3"/>
      <c r="S103" s="3"/>
      <c r="T103" s="19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s="8" customFormat="1" ht="17.25" customHeight="1">
      <c r="A104" s="37"/>
      <c r="B104" s="38"/>
      <c r="C104" s="46" t="s">
        <v>68</v>
      </c>
      <c r="D104" s="37"/>
      <c r="E104" s="39"/>
      <c r="F104" s="39"/>
      <c r="G104" s="16">
        <v>30</v>
      </c>
      <c r="H104" s="16">
        <v>30</v>
      </c>
      <c r="I104" s="16">
        <v>30</v>
      </c>
      <c r="J104" s="16">
        <v>30</v>
      </c>
      <c r="K104" s="16">
        <v>27</v>
      </c>
      <c r="L104" s="16">
        <v>27</v>
      </c>
      <c r="M104" s="25">
        <f t="shared" ref="M104:M106" si="1">SUM(G104:L104)</f>
        <v>174</v>
      </c>
      <c r="N104" s="40"/>
      <c r="P104" s="3"/>
      <c r="Q104" s="3"/>
      <c r="R104" s="3"/>
      <c r="S104" s="3"/>
      <c r="T104" s="19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s="8" customFormat="1" ht="17.25" customHeight="1">
      <c r="A105" s="30"/>
      <c r="B105" s="24"/>
      <c r="C105" s="30" t="s">
        <v>69</v>
      </c>
      <c r="D105" s="30"/>
      <c r="E105" s="16"/>
      <c r="F105" s="16"/>
      <c r="G105" s="16">
        <v>3</v>
      </c>
      <c r="H105" s="16">
        <v>3</v>
      </c>
      <c r="I105" s="16">
        <v>3</v>
      </c>
      <c r="J105" s="16">
        <v>3</v>
      </c>
      <c r="K105" s="16">
        <v>3</v>
      </c>
      <c r="L105" s="16">
        <v>3</v>
      </c>
      <c r="M105" s="25">
        <f t="shared" si="1"/>
        <v>18</v>
      </c>
      <c r="N105" s="41"/>
      <c r="P105" s="3"/>
      <c r="Q105" s="3"/>
      <c r="R105" s="3"/>
      <c r="S105" s="3"/>
      <c r="T105" s="3"/>
      <c r="U105" s="3"/>
      <c r="V105" s="3"/>
      <c r="W105" s="3"/>
      <c r="X105" s="26"/>
      <c r="Y105" s="3"/>
      <c r="Z105" s="3"/>
      <c r="AA105" s="3"/>
      <c r="AB105" s="3"/>
      <c r="AC105" s="3"/>
    </row>
    <row r="106" spans="1:29" s="8" customFormat="1" ht="16.5">
      <c r="A106" s="24"/>
      <c r="B106" s="24"/>
      <c r="C106" s="24" t="s">
        <v>70</v>
      </c>
      <c r="D106" s="24"/>
      <c r="E106" s="25"/>
      <c r="F106" s="25"/>
      <c r="G106" s="25">
        <f>SUM(G104:G105)</f>
        <v>33</v>
      </c>
      <c r="H106" s="25">
        <f t="shared" ref="H106:L106" si="2">SUM(H104:H105)</f>
        <v>33</v>
      </c>
      <c r="I106" s="25">
        <f t="shared" si="2"/>
        <v>33</v>
      </c>
      <c r="J106" s="25">
        <f t="shared" si="2"/>
        <v>33</v>
      </c>
      <c r="K106" s="25">
        <f t="shared" si="2"/>
        <v>30</v>
      </c>
      <c r="L106" s="25">
        <f t="shared" si="2"/>
        <v>30</v>
      </c>
      <c r="M106" s="25">
        <f t="shared" si="1"/>
        <v>192</v>
      </c>
      <c r="N106" s="41"/>
      <c r="P106" s="3"/>
      <c r="Q106" s="3"/>
      <c r="R106" s="3"/>
      <c r="S106" s="3"/>
      <c r="Y106" s="3"/>
      <c r="Z106" s="3"/>
      <c r="AA106" s="3"/>
      <c r="AB106" s="3"/>
      <c r="AC106" s="3"/>
    </row>
    <row r="107" spans="1:29" s="8" customFormat="1" ht="16.5">
      <c r="A107" s="42"/>
      <c r="B107" s="42"/>
      <c r="C107" s="42" t="s">
        <v>71</v>
      </c>
      <c r="D107" s="42"/>
      <c r="E107" s="43"/>
      <c r="F107" s="43"/>
      <c r="G107" s="71">
        <f>SUM(G106:H106)</f>
        <v>66</v>
      </c>
      <c r="H107" s="71"/>
      <c r="I107" s="71">
        <f>SUM(I106:J106)</f>
        <v>66</v>
      </c>
      <c r="J107" s="71"/>
      <c r="K107" s="71">
        <f>SUM(K106:L106)</f>
        <v>60</v>
      </c>
      <c r="L107" s="71"/>
      <c r="M107" s="25">
        <f>SUM(G107:L107)</f>
        <v>192</v>
      </c>
      <c r="N107" s="4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s="8" customFormat="1" ht="16.5"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s="8" customFormat="1" ht="16.5">
      <c r="C109" s="1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s="8" customFormat="1" ht="16.5"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s="8" customFormat="1" ht="16.5"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s="8" customFormat="1" ht="16.5"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2:29" s="8" customFormat="1" ht="16.5"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2:29" s="8" customFormat="1" ht="16.5"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2:29" s="8" customFormat="1" ht="16.5"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2:29" ht="16.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2:29" ht="16.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</sheetData>
  <mergeCells count="87">
    <mergeCell ref="G107:H107"/>
    <mergeCell ref="I107:J107"/>
    <mergeCell ref="K107:L107"/>
    <mergeCell ref="H88:H89"/>
    <mergeCell ref="K90:K91"/>
    <mergeCell ref="L92:L93"/>
    <mergeCell ref="K94:K98"/>
    <mergeCell ref="L99:L103"/>
    <mergeCell ref="L79:L85"/>
    <mergeCell ref="B86:B93"/>
    <mergeCell ref="M86:M93"/>
    <mergeCell ref="B94:B103"/>
    <mergeCell ref="M94:M103"/>
    <mergeCell ref="G86:G87"/>
    <mergeCell ref="M74:M85"/>
    <mergeCell ref="M35:M36"/>
    <mergeCell ref="N35:N38"/>
    <mergeCell ref="B37:B38"/>
    <mergeCell ref="M37:M38"/>
    <mergeCell ref="B74:B75"/>
    <mergeCell ref="L74:L78"/>
    <mergeCell ref="I40:I41"/>
    <mergeCell ref="I42:I43"/>
    <mergeCell ref="I44:I51"/>
    <mergeCell ref="K64:K65"/>
    <mergeCell ref="K66:K73"/>
    <mergeCell ref="J52:J55"/>
    <mergeCell ref="B60:B63"/>
    <mergeCell ref="J56:J63"/>
    <mergeCell ref="M40:M63"/>
    <mergeCell ref="M64:M73"/>
    <mergeCell ref="M25:M28"/>
    <mergeCell ref="N25:N28"/>
    <mergeCell ref="B29:B34"/>
    <mergeCell ref="M29:M34"/>
    <mergeCell ref="N29:N34"/>
    <mergeCell ref="M16:M20"/>
    <mergeCell ref="N16:N20"/>
    <mergeCell ref="B21:B24"/>
    <mergeCell ref="M21:M22"/>
    <mergeCell ref="N21:N22"/>
    <mergeCell ref="M23:M24"/>
    <mergeCell ref="N23:N24"/>
    <mergeCell ref="L4:L5"/>
    <mergeCell ref="B6:B10"/>
    <mergeCell ref="M6:M10"/>
    <mergeCell ref="N6:N10"/>
    <mergeCell ref="B11:B15"/>
    <mergeCell ref="M11:M15"/>
    <mergeCell ref="N11:N15"/>
    <mergeCell ref="G4:G5"/>
    <mergeCell ref="H4:H5"/>
    <mergeCell ref="I4:I5"/>
    <mergeCell ref="J4:J5"/>
    <mergeCell ref="K4:K5"/>
    <mergeCell ref="B66:B69"/>
    <mergeCell ref="B70:B73"/>
    <mergeCell ref="B56:B59"/>
    <mergeCell ref="A3:A5"/>
    <mergeCell ref="B1:N1"/>
    <mergeCell ref="I2:N2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N86:N93"/>
    <mergeCell ref="N94:N103"/>
    <mergeCell ref="N40:N85"/>
    <mergeCell ref="A6:A38"/>
    <mergeCell ref="B39:F39"/>
    <mergeCell ref="A40:A103"/>
    <mergeCell ref="B53:B54"/>
    <mergeCell ref="B64:B65"/>
    <mergeCell ref="B77:B78"/>
    <mergeCell ref="B79:B82"/>
    <mergeCell ref="B83:B85"/>
    <mergeCell ref="B16:B20"/>
    <mergeCell ref="B25:B28"/>
    <mergeCell ref="B35:B36"/>
    <mergeCell ref="B44:B47"/>
    <mergeCell ref="B48:B51"/>
  </mergeCells>
  <phoneticPr fontId="3" type="noConversion"/>
  <conditionalFormatting sqref="D6:D38">
    <cfRule type="containsText" dxfId="0" priority="1" operator="containsText" text="공통">
      <formula>NOT(ISERROR(SEARCH("공통",D6)))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2025입학생 3개년 교육과정 편성표_9.12</vt:lpstr>
      <vt:lpstr>'2025입학생 3개년 교육과정 편성표_9.12'!Print_Area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2025-09-12T01:48:05Z</dcterms:created>
  <dcterms:modified xsi:type="dcterms:W3CDTF">2025-12-03T00:51:03Z</dcterms:modified>
</cp:coreProperties>
</file>