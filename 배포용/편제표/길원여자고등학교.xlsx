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2025 교육과정\교육과정 컨설팅(서준희)\"/>
    </mc:Choice>
  </mc:AlternateContent>
  <xr:revisionPtr revIDLastSave="0" documentId="13_ncr:1_{468F5B75-2D25-4A49-BD84-53A057C1B2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학년도 입학생 3개년 교육과정 편성표" sheetId="1" r:id="rId1"/>
  </sheets>
  <definedNames>
    <definedName name="_xlnm.Print_Area" localSheetId="0">'2026학년도 입학생 3개년 교육과정 편성표'!$A$1:$N$56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4" i="1" l="1"/>
  <c r="M50" i="1" l="1"/>
  <c r="M46" i="1"/>
  <c r="H43" i="1"/>
  <c r="H53" i="1" s="1"/>
  <c r="I43" i="1"/>
  <c r="I53" i="1" s="1"/>
  <c r="J43" i="1"/>
  <c r="J53" i="1" s="1"/>
  <c r="K43" i="1"/>
  <c r="K53" i="1" s="1"/>
  <c r="L43" i="1"/>
  <c r="L53" i="1" s="1"/>
  <c r="G43" i="1"/>
  <c r="G53" i="1" s="1"/>
  <c r="M53" i="1" l="1"/>
  <c r="M56" i="1"/>
  <c r="L55" i="1"/>
  <c r="K55" i="1"/>
  <c r="J55" i="1"/>
  <c r="I55" i="1"/>
  <c r="H55" i="1"/>
  <c r="G55" i="1"/>
  <c r="M54" i="1"/>
  <c r="N43" i="1"/>
  <c r="M34" i="1"/>
  <c r="M28" i="1"/>
  <c r="M24" i="1"/>
  <c r="M16" i="1"/>
  <c r="M11" i="1"/>
  <c r="M6" i="1"/>
  <c r="M55" i="1" l="1"/>
  <c r="M40" i="1"/>
  <c r="M43" i="1" s="1"/>
</calcChain>
</file>

<file path=xl/sharedStrings.xml><?xml version="1.0" encoding="utf-8"?>
<sst xmlns="http://schemas.openxmlformats.org/spreadsheetml/2006/main" count="131" uniqueCount="94">
  <si>
    <t>구분</t>
  </si>
  <si>
    <t>교과(군)</t>
  </si>
  <si>
    <t>과목</t>
  </si>
  <si>
    <t>과목유형</t>
  </si>
  <si>
    <t>기본
학점</t>
  </si>
  <si>
    <t>편성
학점</t>
  </si>
  <si>
    <t>1학년</t>
  </si>
  <si>
    <t>2학년</t>
  </si>
  <si>
    <t>3학년</t>
  </si>
  <si>
    <t>이수
학점</t>
  </si>
  <si>
    <t>필수
이수
학점</t>
  </si>
  <si>
    <t>1학기</t>
  </si>
  <si>
    <t>2학기</t>
  </si>
  <si>
    <t>학교지정</t>
  </si>
  <si>
    <t>공통국어1</t>
  </si>
  <si>
    <t>공통</t>
  </si>
  <si>
    <t>공통국어2</t>
  </si>
  <si>
    <t>문학</t>
  </si>
  <si>
    <t>일반</t>
  </si>
  <si>
    <t>화법과 언어</t>
  </si>
  <si>
    <t>독서와 작문</t>
  </si>
  <si>
    <t>공통수학1</t>
  </si>
  <si>
    <t>공통수학2</t>
  </si>
  <si>
    <t>대수</t>
  </si>
  <si>
    <t>미적분Ⅰ</t>
  </si>
  <si>
    <t>확률과 통계</t>
  </si>
  <si>
    <t>공통영어1</t>
  </si>
  <si>
    <t>공통영어2</t>
  </si>
  <si>
    <t>영어Ⅰ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</si>
  <si>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</si>
  <si>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</si>
  <si>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</si>
  <si>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</si>
  <si>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</si>
  <si>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</si>
  <si>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</si>
  <si>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</si>
  <si>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</si>
  <si>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</si>
  <si>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</si>
  <si>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진로</t>
  </si>
  <si>
    <t>융합</t>
  </si>
  <si>
    <t>음악</t>
  </si>
  <si>
    <t>음악과 미디어</t>
  </si>
  <si>
    <t>미술과 매체</t>
  </si>
  <si>
    <t>정보</t>
  </si>
  <si>
    <t>인공지능 기초</t>
  </si>
  <si>
    <t>진로와 직업</t>
  </si>
  <si>
    <t>학교 지정 교과 이수 학점 소계</t>
  </si>
  <si>
    <t>교과 이수 학점 소계</t>
  </si>
  <si>
    <t>창의적 체험활동</t>
  </si>
  <si>
    <t>학기별 총 이수 학점 계</t>
  </si>
  <si>
    <t>학기당 이수 과목 수</t>
  </si>
  <si>
    <t>음악 연주와 창작</t>
    <phoneticPr fontId="14" type="noConversion"/>
  </si>
  <si>
    <t>진로</t>
    <phoneticPr fontId="14" type="noConversion"/>
  </si>
  <si>
    <t xml:space="preserve">
</t>
    <phoneticPr fontId="14" type="noConversion"/>
  </si>
  <si>
    <t>일본어/중국어/베트남어</t>
    <phoneticPr fontId="14" type="noConversion"/>
  </si>
  <si>
    <t>운동과 건강</t>
    <phoneticPr fontId="14" type="noConversion"/>
  </si>
  <si>
    <t>스포츠 문화</t>
    <phoneticPr fontId="14" type="noConversion"/>
  </si>
  <si>
    <t>스포츠 과학</t>
    <phoneticPr fontId="14" type="noConversion"/>
  </si>
  <si>
    <t>(2)</t>
    <phoneticPr fontId="14" type="noConversion"/>
  </si>
  <si>
    <t>미술</t>
    <phoneticPr fontId="14" type="noConversion"/>
  </si>
  <si>
    <t>미술 창작</t>
    <phoneticPr fontId="14" type="noConversion"/>
  </si>
  <si>
    <t>국어/수학/영어</t>
    <phoneticPr fontId="14" type="noConversion"/>
  </si>
  <si>
    <t>진로/융합
(택3)</t>
    <phoneticPr fontId="14" type="noConversion"/>
  </si>
  <si>
    <t>일반
(택3)</t>
    <phoneticPr fontId="14" type="noConversion"/>
  </si>
  <si>
    <t>융합
(택3)</t>
    <phoneticPr fontId="14" type="noConversion"/>
  </si>
  <si>
    <t>일반
(택1)</t>
    <phoneticPr fontId="14" type="noConversion"/>
  </si>
  <si>
    <t>사회/과학</t>
    <phoneticPr fontId="14" type="noConversion"/>
  </si>
  <si>
    <t>예술</t>
    <phoneticPr fontId="14" type="noConversion"/>
  </si>
  <si>
    <t>교양</t>
    <phoneticPr fontId="14" type="noConversion"/>
  </si>
  <si>
    <t>체육</t>
    <phoneticPr fontId="14" type="noConversion"/>
  </si>
  <si>
    <t>과학</t>
    <phoneticPr fontId="14" type="noConversion"/>
  </si>
  <si>
    <t>사회</t>
    <phoneticPr fontId="14" type="noConversion"/>
  </si>
  <si>
    <t>영어</t>
    <phoneticPr fontId="14" type="noConversion"/>
  </si>
  <si>
    <t>수학</t>
    <phoneticPr fontId="14" type="noConversion"/>
  </si>
  <si>
    <t>국어</t>
    <phoneticPr fontId="14" type="noConversion"/>
  </si>
  <si>
    <r>
      <rPr>
        <sz val="9"/>
        <color rgb="FF000000"/>
        <rFont val="맑은 고딕"/>
        <family val="3"/>
        <charset val="129"/>
      </rPr>
      <t>주제</t>
    </r>
    <r>
      <rPr>
        <sz val="9"/>
        <color rgb="FF000000"/>
        <rFont val="Malgun Gothic"/>
        <family val="2"/>
        <charset val="129"/>
      </rPr>
      <t xml:space="preserve"> 탐구 독서</t>
    </r>
    <r>
      <rPr>
        <sz val="9"/>
        <color rgb="FF000000"/>
        <rFont val="Arial"/>
        <family val="2"/>
      </rPr>
      <t>/</t>
    </r>
    <r>
      <rPr>
        <sz val="9"/>
        <color rgb="FF000000"/>
        <rFont val="맑은 고딕"/>
        <family val="3"/>
        <charset val="129"/>
      </rPr>
      <t>기하/미적분Ⅱ/경제 수학</t>
    </r>
    <r>
      <rPr>
        <sz val="9"/>
        <color rgb="FF000000"/>
        <rFont val="Arial"/>
        <family val="2"/>
      </rPr>
      <t>/</t>
    </r>
    <r>
      <rPr>
        <sz val="9"/>
        <color rgb="FF000000"/>
        <rFont val="맑은 고딕"/>
        <family val="3"/>
        <charset val="129"/>
      </rPr>
      <t>심화 영어</t>
    </r>
    <phoneticPr fontId="14" type="noConversion"/>
  </si>
  <si>
    <t>학
생
선
택</t>
    <phoneticPr fontId="14" type="noConversion"/>
  </si>
  <si>
    <t>진로
(택3)</t>
    <phoneticPr fontId="14" type="noConversion"/>
  </si>
  <si>
    <t>2026학년도 입학생 3개년 교육과정 편성표(길원여자고등학교)</t>
    <phoneticPr fontId="14" type="noConversion"/>
  </si>
  <si>
    <t>생태와 환경/보건/인간과 심리/논술</t>
    <phoneticPr fontId="14" type="noConversion"/>
  </si>
  <si>
    <t>여행지리/역사로 탐구하는 현대 세계/ 
기후변화와 지속가능한 세계/기후변화와 환경생태/과학의 역사와 문화</t>
    <phoneticPr fontId="14" type="noConversion"/>
  </si>
  <si>
    <t>일본어 회화/중국어 회화/베트남 문화</t>
    <phoneticPr fontId="14" type="noConversion"/>
  </si>
  <si>
    <t>스포츠 생활1</t>
    <phoneticPr fontId="14" type="noConversion"/>
  </si>
  <si>
    <t>일반</t>
    <phoneticPr fontId="14" type="noConversion"/>
  </si>
  <si>
    <t>진로/융합
(택1)</t>
    <phoneticPr fontId="14" type="noConversion"/>
  </si>
  <si>
    <r>
      <t>기술</t>
    </r>
    <r>
      <rPr>
        <sz val="10"/>
        <color rgb="FF000000"/>
        <rFont val="Yu Gothic"/>
        <family val="3"/>
        <charset val="128"/>
      </rPr>
      <t>・</t>
    </r>
    <r>
      <rPr>
        <sz val="10"/>
        <color rgb="FF000000"/>
        <rFont val="Malgun Gothic"/>
        <family val="3"/>
        <charset val="129"/>
      </rPr>
      <t>가정/    정보/제2외국어/ 한문/교양</t>
    </r>
    <phoneticPr fontId="14" type="noConversion"/>
  </si>
  <si>
    <r>
      <rPr>
        <sz val="9"/>
        <color rgb="FF000000"/>
        <rFont val="맑은 고딕"/>
        <family val="3"/>
        <charset val="129"/>
      </rPr>
      <t>일반/진로/  융합</t>
    </r>
    <r>
      <rPr>
        <sz val="9"/>
        <color rgb="FF000000"/>
        <rFont val="Malgun Gothic"/>
        <family val="3"/>
        <charset val="129"/>
      </rPr>
      <t xml:space="preserve">
(택1)</t>
    </r>
    <phoneticPr fontId="14" type="noConversion"/>
  </si>
  <si>
    <t>문학과 영상/매체 의사소통/실용 통계/수학과제 탐구/심화 영어 독해와 작문</t>
    <phoneticPr fontId="14" type="noConversion"/>
  </si>
  <si>
    <r>
      <t>기술</t>
    </r>
    <r>
      <rPr>
        <sz val="10"/>
        <color rgb="FF000000"/>
        <rFont val="Yu Gothic"/>
        <family val="3"/>
        <charset val="128"/>
      </rPr>
      <t>・</t>
    </r>
    <r>
      <rPr>
        <sz val="10"/>
        <color rgb="FF000000"/>
        <rFont val="Malgun Gothic"/>
        <family val="3"/>
        <charset val="129"/>
      </rPr>
      <t>가정/    정보/제2외국어/    한문/교양</t>
    </r>
    <phoneticPr fontId="14" type="noConversion"/>
  </si>
  <si>
    <t>세계시민과 지리/세계사/사회와 문화/현대사회와 윤리/물리학/화학/생명과학/지구과학</t>
    <phoneticPr fontId="14" type="noConversion"/>
  </si>
  <si>
    <r>
      <t>법과 사회/도시의 미래 탐구/ 
정치/경제/인문학과 윤리/국제 관계의 이해</t>
    </r>
    <r>
      <rPr>
        <sz val="9"/>
        <rFont val="Malgun Gothic"/>
        <family val="3"/>
        <charset val="129"/>
      </rPr>
      <t>/사회문제 탐구</t>
    </r>
    <r>
      <rPr>
        <sz val="9"/>
        <color theme="1"/>
        <rFont val="Malgun Gothic"/>
        <family val="3"/>
        <charset val="129"/>
      </rPr>
      <t>/
역학과 에너지/전자기와 양자/물질과 에너지/화학 반응의 세계/ 세포와 물질대사/생물의 유전/행성우주과학/지구시스템과학</t>
    </r>
    <phoneticPr fontId="14" type="noConversion"/>
  </si>
  <si>
    <r>
      <t>진로/</t>
    </r>
    <r>
      <rPr>
        <sz val="9"/>
        <rFont val="Malgun Gothic"/>
        <family val="3"/>
        <charset val="129"/>
      </rPr>
      <t>융합</t>
    </r>
    <r>
      <rPr>
        <sz val="9"/>
        <color rgb="FF000000"/>
        <rFont val="Malgun Gothic"/>
        <family val="3"/>
        <charset val="129"/>
      </rPr>
      <t xml:space="preserve">
(택3*2)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</si>
</sst>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_ "/>
  </numFmts>
  <fonts count="22">
    <font>
      <sz val="11"/>
      <color rgb="FF000000"/>
      <name val="Calibri"/>
      <scheme val="minor"/>
    </font>
    <font>
      <b/>
      <sz val="18"/>
      <color rgb="FF000000"/>
      <name val="Malgun Gothic"/>
      <family val="3"/>
      <charset val="129"/>
    </font>
    <font>
      <sz val="11"/>
      <color rgb="FF000000"/>
      <name val="Dotum"/>
      <family val="3"/>
      <charset val="129"/>
    </font>
    <font>
      <b/>
      <sz val="12"/>
      <color rgb="FF000000"/>
      <name val="Malgun Gothic"/>
      <family val="3"/>
      <charset val="129"/>
    </font>
    <font>
      <b/>
      <sz val="12"/>
      <color rgb="FFFF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1"/>
      <name val="Calibri"/>
      <family val="2"/>
    </font>
    <font>
      <sz val="10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11"/>
      <color rgb="FFFF0000"/>
      <name val="Dotum"/>
      <family val="3"/>
      <charset val="129"/>
    </font>
    <font>
      <sz val="11"/>
      <color rgb="FF000000"/>
      <name val="Malgun Gothic"/>
      <family val="3"/>
      <charset val="129"/>
    </font>
    <font>
      <sz val="9"/>
      <color rgb="FF000000"/>
      <name val="Arial"/>
      <family val="2"/>
    </font>
    <font>
      <sz val="9"/>
      <color rgb="FF000000"/>
      <name val="맑은 고딕"/>
      <family val="3"/>
      <charset val="129"/>
    </font>
    <font>
      <sz val="8"/>
      <name val="Calibri"/>
      <family val="3"/>
      <charset val="129"/>
      <scheme val="minor"/>
    </font>
    <font>
      <sz val="9"/>
      <color theme="1"/>
      <name val="Malgun Gothic"/>
      <family val="3"/>
      <charset val="129"/>
    </font>
    <font>
      <sz val="11"/>
      <color rgb="FF000000"/>
      <name val="돋움"/>
      <family val="3"/>
      <charset val="129"/>
    </font>
    <font>
      <sz val="9"/>
      <name val="Malgun Gothic"/>
      <family val="3"/>
      <charset val="129"/>
    </font>
    <font>
      <sz val="9"/>
      <name val="맑은 고딕"/>
      <family val="3"/>
      <charset val="129"/>
    </font>
    <font>
      <sz val="9"/>
      <color rgb="FF000000"/>
      <name val="Malgun Gothic"/>
      <family val="2"/>
      <charset val="129"/>
    </font>
    <font>
      <sz val="10"/>
      <name val="Calibri"/>
      <family val="2"/>
    </font>
    <font>
      <sz val="10"/>
      <color rgb="FF000000"/>
      <name val="Yu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BEEF3"/>
        <bgColor rgb="FFDBEEF3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6" fillId="0" borderId="0"/>
  </cellStyleXfs>
  <cellXfs count="97">
    <xf numFmtId="0" fontId="0" fillId="0" borderId="0" xfId="0" applyFont="1" applyAlignment="1"/>
    <xf numFmtId="0" fontId="2" fillId="0" borderId="0" xfId="0" applyFont="1"/>
    <xf numFmtId="0" fontId="3" fillId="0" borderId="0" xfId="0" applyFont="1" applyAlignment="1">
      <alignment horizontal="left"/>
    </xf>
    <xf numFmtId="49" fontId="8" fillId="0" borderId="6" xfId="0" applyNumberFormat="1" applyFont="1" applyBorder="1" applyAlignment="1">
      <alignment horizontal="center" vertical="center"/>
    </xf>
    <xf numFmtId="0" fontId="10" fillId="0" borderId="0" xfId="0" applyFont="1" applyAlignment="1"/>
    <xf numFmtId="0" fontId="8" fillId="0" borderId="11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2" fillId="0" borderId="0" xfId="0" applyFont="1" applyAlignment="1"/>
    <xf numFmtId="177" fontId="8" fillId="0" borderId="6" xfId="0" applyNumberFormat="1" applyFont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7" fillId="0" borderId="25" xfId="0" applyFont="1" applyBorder="1" applyAlignment="1">
      <alignment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29" xfId="0" applyFont="1" applyBorder="1" applyAlignment="1">
      <alignment vertical="center" wrapText="1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vertical="center" wrapText="1"/>
    </xf>
    <xf numFmtId="0" fontId="1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 shrinkToFit="1"/>
    </xf>
    <xf numFmtId="0" fontId="15" fillId="0" borderId="6" xfId="0" applyFont="1" applyBorder="1" applyAlignment="1">
      <alignment horizontal="center" vertical="center" shrinkToFit="1"/>
    </xf>
    <xf numFmtId="0" fontId="8" fillId="5" borderId="5" xfId="0" applyFont="1" applyFill="1" applyBorder="1" applyAlignment="1">
      <alignment horizontal="center" vertical="center"/>
    </xf>
    <xf numFmtId="176" fontId="8" fillId="5" borderId="5" xfId="0" applyNumberFormat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49" fontId="8" fillId="5" borderId="6" xfId="0" applyNumberFormat="1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vertical="center"/>
    </xf>
    <xf numFmtId="0" fontId="8" fillId="5" borderId="6" xfId="0" applyFont="1" applyFill="1" applyBorder="1" applyAlignment="1">
      <alignment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shrinkToFit="1"/>
    </xf>
    <xf numFmtId="0" fontId="8" fillId="5" borderId="6" xfId="0" applyFont="1" applyFill="1" applyBorder="1" applyAlignment="1">
      <alignment horizontal="center" vertical="center" wrapText="1" shrinkToFit="1"/>
    </xf>
    <xf numFmtId="177" fontId="8" fillId="5" borderId="6" xfId="0" applyNumberFormat="1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3" xfId="0" applyFont="1" applyBorder="1"/>
    <xf numFmtId="0" fontId="6" fillId="0" borderId="7" xfId="0" applyFont="1" applyBorder="1"/>
    <xf numFmtId="0" fontId="8" fillId="0" borderId="22" xfId="0" applyFont="1" applyBorder="1" applyAlignment="1">
      <alignment horizontal="center" vertical="center" wrapText="1"/>
    </xf>
    <xf numFmtId="0" fontId="6" fillId="0" borderId="19" xfId="0" applyFont="1" applyBorder="1"/>
    <xf numFmtId="0" fontId="6" fillId="0" borderId="23" xfId="0" applyFont="1" applyBorder="1"/>
    <xf numFmtId="0" fontId="5" fillId="3" borderId="14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/>
    </xf>
    <xf numFmtId="0" fontId="0" fillId="5" borderId="36" xfId="0" applyFont="1" applyFill="1" applyBorder="1" applyAlignment="1"/>
    <xf numFmtId="0" fontId="0" fillId="5" borderId="37" xfId="0" applyFont="1" applyFill="1" applyBorder="1" applyAlignment="1"/>
    <xf numFmtId="0" fontId="5" fillId="0" borderId="0" xfId="0" applyFont="1" applyBorder="1" applyAlignment="1">
      <alignment horizontal="center"/>
    </xf>
    <xf numFmtId="0" fontId="6" fillId="0" borderId="0" xfId="0" applyFont="1" applyBorder="1"/>
    <xf numFmtId="0" fontId="5" fillId="3" borderId="13" xfId="0" applyFont="1" applyFill="1" applyBorder="1" applyAlignment="1">
      <alignment horizontal="center" vertical="center" wrapText="1"/>
    </xf>
    <xf numFmtId="0" fontId="6" fillId="0" borderId="18" xfId="0" applyFont="1" applyBorder="1"/>
    <xf numFmtId="0" fontId="6" fillId="0" borderId="20" xfId="0" applyFont="1" applyBorder="1"/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6" fillId="0" borderId="16" xfId="0" applyFont="1" applyBorder="1"/>
    <xf numFmtId="0" fontId="5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6" fillId="5" borderId="7" xfId="0" applyFont="1" applyFill="1" applyBorder="1"/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11" fillId="0" borderId="28" xfId="0" applyFont="1" applyBorder="1" applyAlignment="1">
      <alignment horizontal="center" vertical="center" wrapText="1"/>
    </xf>
    <xf numFmtId="0" fontId="6" fillId="0" borderId="12" xfId="0" applyFont="1" applyBorder="1"/>
    <xf numFmtId="0" fontId="6" fillId="0" borderId="2" xfId="0" applyFont="1" applyBorder="1"/>
    <xf numFmtId="0" fontId="11" fillId="0" borderId="28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 wrapText="1"/>
    </xf>
    <xf numFmtId="0" fontId="6" fillId="0" borderId="31" xfId="0" applyFont="1" applyBorder="1"/>
    <xf numFmtId="0" fontId="6" fillId="0" borderId="32" xfId="0" applyFont="1" applyBorder="1"/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 applyAlignment="1"/>
    <xf numFmtId="0" fontId="0" fillId="0" borderId="7" xfId="0" applyFont="1" applyBorder="1" applyAlignment="1"/>
    <xf numFmtId="0" fontId="7" fillId="0" borderId="8" xfId="0" applyFont="1" applyBorder="1" applyAlignment="1">
      <alignment horizontal="center" vertical="center" wrapText="1"/>
    </xf>
    <xf numFmtId="0" fontId="6" fillId="0" borderId="9" xfId="0" applyFont="1" applyBorder="1"/>
    <xf numFmtId="0" fontId="6" fillId="0" borderId="10" xfId="0" applyFont="1" applyBorder="1"/>
    <xf numFmtId="0" fontId="7" fillId="0" borderId="1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5" borderId="3" xfId="0" applyFont="1" applyFill="1" applyBorder="1"/>
    <xf numFmtId="0" fontId="17" fillId="6" borderId="1" xfId="0" applyFont="1" applyFill="1" applyBorder="1" applyAlignment="1">
      <alignment horizontal="center" vertical="center" wrapText="1"/>
    </xf>
    <xf numFmtId="0" fontId="20" fillId="0" borderId="7" xfId="0" applyFont="1" applyBorder="1"/>
    <xf numFmtId="0" fontId="7" fillId="0" borderId="21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</cellXfs>
  <cellStyles count="2">
    <cellStyle name="표준" xfId="0" builtinId="0"/>
    <cellStyle name="표준 2" xfId="1" xr:uid="{995BF1A6-BC58-46AA-BB6E-F03FA57711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6"/>
  <sheetViews>
    <sheetView tabSelected="1" topLeftCell="B37" zoomScaleNormal="100" workbookViewId="0">
      <selection activeCell="T52" sqref="T52"/>
    </sheetView>
  </sheetViews>
  <sheetFormatPr defaultColWidth="14.42578125" defaultRowHeight="15" customHeight="1"/>
  <cols>
    <col min="1" max="1" width="3.5703125" customWidth="1"/>
    <col min="2" max="2" width="14.85546875" bestFit="1" customWidth="1"/>
    <col min="3" max="3" width="62.85546875" customWidth="1"/>
    <col min="4" max="4" width="11.5703125" customWidth="1"/>
    <col min="5" max="12" width="4.7109375" customWidth="1"/>
    <col min="13" max="13" width="5.7109375" customWidth="1"/>
    <col min="14" max="14" width="5.5703125" customWidth="1"/>
    <col min="15" max="25" width="8.85546875" customWidth="1"/>
    <col min="26" max="26" width="43.7109375" customWidth="1"/>
  </cols>
  <sheetData>
    <row r="1" spans="1:26" ht="39.75" customHeight="1" thickBot="1">
      <c r="A1" s="51" t="s">
        <v>80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thickBot="1">
      <c r="A2" s="2"/>
      <c r="B2" s="14"/>
      <c r="C2" s="15"/>
      <c r="D2" s="14"/>
      <c r="E2" s="14"/>
      <c r="F2" s="14"/>
      <c r="G2" s="14"/>
      <c r="H2" s="14"/>
      <c r="I2" s="54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56" t="s">
        <v>0</v>
      </c>
      <c r="B3" s="59" t="s">
        <v>1</v>
      </c>
      <c r="C3" s="49" t="s">
        <v>2</v>
      </c>
      <c r="D3" s="49" t="s">
        <v>3</v>
      </c>
      <c r="E3" s="49" t="s">
        <v>4</v>
      </c>
      <c r="F3" s="49" t="s">
        <v>5</v>
      </c>
      <c r="G3" s="60" t="s">
        <v>6</v>
      </c>
      <c r="H3" s="61"/>
      <c r="I3" s="60" t="s">
        <v>7</v>
      </c>
      <c r="J3" s="61"/>
      <c r="K3" s="60" t="s">
        <v>8</v>
      </c>
      <c r="L3" s="61"/>
      <c r="M3" s="49" t="s">
        <v>9</v>
      </c>
      <c r="N3" s="50" t="s">
        <v>10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57"/>
      <c r="B4" s="44"/>
      <c r="C4" s="44"/>
      <c r="D4" s="44"/>
      <c r="E4" s="44"/>
      <c r="F4" s="44"/>
      <c r="G4" s="62" t="s">
        <v>11</v>
      </c>
      <c r="H4" s="62" t="s">
        <v>12</v>
      </c>
      <c r="I4" s="62" t="s">
        <v>11</v>
      </c>
      <c r="J4" s="62" t="s">
        <v>12</v>
      </c>
      <c r="K4" s="62" t="s">
        <v>11</v>
      </c>
      <c r="L4" s="62" t="s">
        <v>12</v>
      </c>
      <c r="M4" s="44"/>
      <c r="N4" s="4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thickBot="1">
      <c r="A5" s="58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customHeight="1">
      <c r="A6" s="88" t="s">
        <v>13</v>
      </c>
      <c r="B6" s="89" t="s">
        <v>76</v>
      </c>
      <c r="C6" s="24" t="s">
        <v>14</v>
      </c>
      <c r="D6" s="24" t="s">
        <v>15</v>
      </c>
      <c r="E6" s="24">
        <v>4</v>
      </c>
      <c r="F6" s="24">
        <v>4</v>
      </c>
      <c r="G6" s="24">
        <v>4</v>
      </c>
      <c r="H6" s="24"/>
      <c r="I6" s="25"/>
      <c r="J6" s="24"/>
      <c r="K6" s="24"/>
      <c r="L6" s="24"/>
      <c r="M6" s="43">
        <f>SUM(G6:L10)</f>
        <v>20</v>
      </c>
      <c r="N6" s="46">
        <v>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customHeight="1">
      <c r="A7" s="57"/>
      <c r="B7" s="85"/>
      <c r="C7" s="26" t="s">
        <v>16</v>
      </c>
      <c r="D7" s="26" t="s">
        <v>15</v>
      </c>
      <c r="E7" s="26">
        <v>4</v>
      </c>
      <c r="F7" s="26">
        <v>4</v>
      </c>
      <c r="G7" s="26"/>
      <c r="H7" s="26">
        <v>4</v>
      </c>
      <c r="I7" s="26"/>
      <c r="J7" s="26"/>
      <c r="K7" s="26"/>
      <c r="L7" s="26"/>
      <c r="M7" s="44"/>
      <c r="N7" s="4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customHeight="1">
      <c r="A8" s="57"/>
      <c r="B8" s="85"/>
      <c r="C8" s="26" t="s">
        <v>17</v>
      </c>
      <c r="D8" s="26" t="s">
        <v>18</v>
      </c>
      <c r="E8" s="26">
        <v>4</v>
      </c>
      <c r="F8" s="26">
        <v>4</v>
      </c>
      <c r="G8" s="26"/>
      <c r="H8" s="26"/>
      <c r="I8" s="26">
        <v>4</v>
      </c>
      <c r="J8" s="26"/>
      <c r="K8" s="26"/>
      <c r="L8" s="26"/>
      <c r="M8" s="44"/>
      <c r="N8" s="4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customHeight="1">
      <c r="A9" s="57"/>
      <c r="B9" s="85"/>
      <c r="C9" s="27" t="s">
        <v>19</v>
      </c>
      <c r="D9" s="26" t="s">
        <v>18</v>
      </c>
      <c r="E9" s="26">
        <v>4</v>
      </c>
      <c r="F9" s="26">
        <v>4</v>
      </c>
      <c r="G9" s="26"/>
      <c r="H9" s="26"/>
      <c r="I9" s="26"/>
      <c r="J9" s="26">
        <v>4</v>
      </c>
      <c r="K9" s="26"/>
      <c r="L9" s="26"/>
      <c r="M9" s="44"/>
      <c r="N9" s="4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customHeight="1">
      <c r="A10" s="57"/>
      <c r="B10" s="64"/>
      <c r="C10" s="27" t="s">
        <v>20</v>
      </c>
      <c r="D10" s="26" t="s">
        <v>18</v>
      </c>
      <c r="E10" s="26">
        <v>4</v>
      </c>
      <c r="F10" s="26">
        <v>4</v>
      </c>
      <c r="G10" s="26"/>
      <c r="H10" s="26"/>
      <c r="I10" s="26"/>
      <c r="J10" s="26"/>
      <c r="K10" s="26">
        <v>4</v>
      </c>
      <c r="L10" s="26"/>
      <c r="M10" s="45"/>
      <c r="N10" s="4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customHeight="1">
      <c r="A11" s="57"/>
      <c r="B11" s="90" t="s">
        <v>75</v>
      </c>
      <c r="C11" s="26" t="s">
        <v>21</v>
      </c>
      <c r="D11" s="26" t="s">
        <v>15</v>
      </c>
      <c r="E11" s="26">
        <v>4</v>
      </c>
      <c r="F11" s="26">
        <v>3</v>
      </c>
      <c r="G11" s="26">
        <v>3</v>
      </c>
      <c r="H11" s="26"/>
      <c r="I11" s="26"/>
      <c r="J11" s="26"/>
      <c r="K11" s="26"/>
      <c r="L11" s="26"/>
      <c r="M11" s="91">
        <f>SUM(G11:L15)</f>
        <v>17</v>
      </c>
      <c r="N11" s="92">
        <v>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customHeight="1">
      <c r="A12" s="57"/>
      <c r="B12" s="85"/>
      <c r="C12" s="26" t="s">
        <v>22</v>
      </c>
      <c r="D12" s="26" t="s">
        <v>15</v>
      </c>
      <c r="E12" s="26">
        <v>4</v>
      </c>
      <c r="F12" s="26">
        <v>3</v>
      </c>
      <c r="G12" s="26"/>
      <c r="H12" s="26">
        <v>3</v>
      </c>
      <c r="I12" s="28"/>
      <c r="J12" s="26"/>
      <c r="K12" s="26"/>
      <c r="L12" s="26"/>
      <c r="M12" s="44"/>
      <c r="N12" s="4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customHeight="1">
      <c r="A13" s="57"/>
      <c r="B13" s="85"/>
      <c r="C13" s="26" t="s">
        <v>23</v>
      </c>
      <c r="D13" s="26" t="s">
        <v>18</v>
      </c>
      <c r="E13" s="26">
        <v>4</v>
      </c>
      <c r="F13" s="26">
        <v>4</v>
      </c>
      <c r="G13" s="26"/>
      <c r="H13" s="26"/>
      <c r="I13" s="28">
        <v>4</v>
      </c>
      <c r="J13" s="26"/>
      <c r="K13" s="26"/>
      <c r="L13" s="26"/>
      <c r="M13" s="44"/>
      <c r="N13" s="4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customHeight="1">
      <c r="A14" s="57"/>
      <c r="B14" s="85"/>
      <c r="C14" s="26" t="s">
        <v>24</v>
      </c>
      <c r="D14" s="26" t="s">
        <v>18</v>
      </c>
      <c r="E14" s="26">
        <v>4</v>
      </c>
      <c r="F14" s="26">
        <v>4</v>
      </c>
      <c r="G14" s="26"/>
      <c r="H14" s="26"/>
      <c r="I14" s="26"/>
      <c r="J14" s="26">
        <v>4</v>
      </c>
      <c r="K14" s="26"/>
      <c r="L14" s="26"/>
      <c r="M14" s="44"/>
      <c r="N14" s="4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57"/>
      <c r="B15" s="64"/>
      <c r="C15" s="26" t="s">
        <v>25</v>
      </c>
      <c r="D15" s="26" t="s">
        <v>18</v>
      </c>
      <c r="E15" s="26">
        <v>4</v>
      </c>
      <c r="F15" s="26">
        <v>3</v>
      </c>
      <c r="G15" s="26"/>
      <c r="H15" s="26"/>
      <c r="I15" s="26"/>
      <c r="J15" s="26">
        <v>3</v>
      </c>
      <c r="K15" s="26"/>
      <c r="L15" s="26"/>
      <c r="M15" s="45"/>
      <c r="N15" s="4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customHeight="1">
      <c r="A16" s="57"/>
      <c r="B16" s="84" t="s">
        <v>74</v>
      </c>
      <c r="C16" s="26" t="s">
        <v>26</v>
      </c>
      <c r="D16" s="26" t="s">
        <v>15</v>
      </c>
      <c r="E16" s="26">
        <v>4</v>
      </c>
      <c r="F16" s="26">
        <v>3</v>
      </c>
      <c r="G16" s="26">
        <v>3</v>
      </c>
      <c r="H16" s="26"/>
      <c r="I16" s="26"/>
      <c r="J16" s="26"/>
      <c r="K16" s="26"/>
      <c r="L16" s="26"/>
      <c r="M16" s="93">
        <f>SUM(G16:L19)</f>
        <v>14</v>
      </c>
      <c r="N16" s="92">
        <v>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customHeight="1">
      <c r="A17" s="57"/>
      <c r="B17" s="85"/>
      <c r="C17" s="26" t="s">
        <v>27</v>
      </c>
      <c r="D17" s="26" t="s">
        <v>15</v>
      </c>
      <c r="E17" s="26">
        <v>4</v>
      </c>
      <c r="F17" s="26">
        <v>3</v>
      </c>
      <c r="G17" s="26"/>
      <c r="H17" s="26">
        <v>3</v>
      </c>
      <c r="I17" s="26"/>
      <c r="J17" s="26"/>
      <c r="K17" s="26"/>
      <c r="L17" s="26"/>
      <c r="M17" s="44"/>
      <c r="N17" s="4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customHeight="1">
      <c r="A18" s="57"/>
      <c r="B18" s="85"/>
      <c r="C18" s="26" t="s">
        <v>28</v>
      </c>
      <c r="D18" s="26" t="s">
        <v>18</v>
      </c>
      <c r="E18" s="26">
        <v>4</v>
      </c>
      <c r="F18" s="26">
        <v>4</v>
      </c>
      <c r="G18" s="26"/>
      <c r="H18" s="26"/>
      <c r="I18" s="26">
        <v>4</v>
      </c>
      <c r="J18" s="26"/>
      <c r="K18" s="26"/>
      <c r="L18" s="26"/>
      <c r="M18" s="44"/>
      <c r="N18" s="4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customHeight="1">
      <c r="A19" s="57"/>
      <c r="B19" s="85"/>
      <c r="C19" s="26" t="s">
        <v>29</v>
      </c>
      <c r="D19" s="26" t="s">
        <v>18</v>
      </c>
      <c r="E19" s="26">
        <v>4</v>
      </c>
      <c r="F19" s="26">
        <v>4</v>
      </c>
      <c r="G19" s="26"/>
      <c r="H19" s="26"/>
      <c r="I19" s="29"/>
      <c r="J19" s="26">
        <v>4</v>
      </c>
      <c r="K19" s="26"/>
      <c r="L19" s="26"/>
      <c r="M19" s="44"/>
      <c r="N19" s="4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57"/>
      <c r="B20" s="80" t="s">
        <v>73</v>
      </c>
      <c r="C20" s="7" t="s">
        <v>30</v>
      </c>
      <c r="D20" s="7" t="s">
        <v>15</v>
      </c>
      <c r="E20" s="7">
        <v>3</v>
      </c>
      <c r="F20" s="7">
        <v>3</v>
      </c>
      <c r="G20" s="7">
        <v>3</v>
      </c>
      <c r="H20" s="7"/>
      <c r="I20" s="7"/>
      <c r="J20" s="7"/>
      <c r="K20" s="7"/>
      <c r="L20" s="7"/>
      <c r="M20" s="93">
        <v>6</v>
      </c>
      <c r="N20" s="92">
        <v>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customHeight="1">
      <c r="A21" s="57"/>
      <c r="B21" s="44"/>
      <c r="C21" s="7" t="s">
        <v>31</v>
      </c>
      <c r="D21" s="7" t="s">
        <v>15</v>
      </c>
      <c r="E21" s="7">
        <v>3</v>
      </c>
      <c r="F21" s="7">
        <v>3</v>
      </c>
      <c r="G21" s="7"/>
      <c r="H21" s="7">
        <v>3</v>
      </c>
      <c r="I21" s="7"/>
      <c r="J21" s="7"/>
      <c r="K21" s="7"/>
      <c r="L21" s="7"/>
      <c r="M21" s="45"/>
      <c r="N21" s="4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customHeight="1">
      <c r="A22" s="57"/>
      <c r="B22" s="44"/>
      <c r="C22" s="7" t="s">
        <v>32</v>
      </c>
      <c r="D22" s="7" t="s">
        <v>15</v>
      </c>
      <c r="E22" s="7">
        <v>4</v>
      </c>
      <c r="F22" s="7">
        <v>3</v>
      </c>
      <c r="G22" s="7">
        <v>3</v>
      </c>
      <c r="H22" s="7"/>
      <c r="I22" s="7"/>
      <c r="J22" s="7"/>
      <c r="K22" s="7"/>
      <c r="L22" s="7"/>
      <c r="M22" s="93">
        <v>6</v>
      </c>
      <c r="N22" s="92">
        <v>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customHeight="1">
      <c r="A23" s="57"/>
      <c r="B23" s="45"/>
      <c r="C23" s="7" t="s">
        <v>33</v>
      </c>
      <c r="D23" s="7" t="s">
        <v>15</v>
      </c>
      <c r="E23" s="7">
        <v>4</v>
      </c>
      <c r="F23" s="7">
        <v>3</v>
      </c>
      <c r="G23" s="7"/>
      <c r="H23" s="7">
        <v>3</v>
      </c>
      <c r="I23" s="7"/>
      <c r="J23" s="7"/>
      <c r="K23" s="7"/>
      <c r="L23" s="7"/>
      <c r="M23" s="45"/>
      <c r="N23" s="4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customHeight="1">
      <c r="A24" s="57"/>
      <c r="B24" s="80" t="s">
        <v>72</v>
      </c>
      <c r="C24" s="7" t="s">
        <v>34</v>
      </c>
      <c r="D24" s="7" t="s">
        <v>15</v>
      </c>
      <c r="E24" s="7">
        <v>4</v>
      </c>
      <c r="F24" s="7">
        <v>4</v>
      </c>
      <c r="G24" s="7">
        <v>4</v>
      </c>
      <c r="H24" s="7"/>
      <c r="I24" s="7"/>
      <c r="J24" s="7"/>
      <c r="K24" s="7"/>
      <c r="L24" s="7"/>
      <c r="M24" s="91">
        <f>SUM(G24:L27)</f>
        <v>10</v>
      </c>
      <c r="N24" s="92">
        <v>10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customHeight="1">
      <c r="A25" s="57"/>
      <c r="B25" s="44"/>
      <c r="C25" s="7" t="s">
        <v>35</v>
      </c>
      <c r="D25" s="7" t="s">
        <v>15</v>
      </c>
      <c r="E25" s="7">
        <v>4</v>
      </c>
      <c r="F25" s="7">
        <v>4</v>
      </c>
      <c r="G25" s="7"/>
      <c r="H25" s="7">
        <v>4</v>
      </c>
      <c r="I25" s="7"/>
      <c r="J25" s="7"/>
      <c r="K25" s="7"/>
      <c r="L25" s="7"/>
      <c r="M25" s="44"/>
      <c r="N25" s="4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customHeight="1">
      <c r="A26" s="57"/>
      <c r="B26" s="44"/>
      <c r="C26" s="7" t="s">
        <v>36</v>
      </c>
      <c r="D26" s="7" t="s">
        <v>15</v>
      </c>
      <c r="E26" s="7">
        <v>1</v>
      </c>
      <c r="F26" s="7">
        <v>1</v>
      </c>
      <c r="G26" s="7">
        <v>1</v>
      </c>
      <c r="H26" s="7"/>
      <c r="I26" s="7"/>
      <c r="J26" s="7"/>
      <c r="K26" s="7"/>
      <c r="L26" s="7"/>
      <c r="M26" s="44"/>
      <c r="N26" s="4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customHeight="1">
      <c r="A27" s="57"/>
      <c r="B27" s="45"/>
      <c r="C27" s="7" t="s">
        <v>37</v>
      </c>
      <c r="D27" s="7" t="s">
        <v>15</v>
      </c>
      <c r="E27" s="7">
        <v>1</v>
      </c>
      <c r="F27" s="7">
        <v>1</v>
      </c>
      <c r="G27" s="7"/>
      <c r="H27" s="7">
        <v>1</v>
      </c>
      <c r="I27" s="7"/>
      <c r="J27" s="7"/>
      <c r="K27" s="7"/>
      <c r="L27" s="7"/>
      <c r="M27" s="45"/>
      <c r="N27" s="4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customHeight="1">
      <c r="A28" s="57"/>
      <c r="B28" s="74" t="s">
        <v>71</v>
      </c>
      <c r="C28" s="7" t="s">
        <v>38</v>
      </c>
      <c r="D28" s="7" t="s">
        <v>18</v>
      </c>
      <c r="E28" s="7">
        <v>3</v>
      </c>
      <c r="F28" s="7">
        <v>2</v>
      </c>
      <c r="G28" s="7">
        <v>2</v>
      </c>
      <c r="H28" s="7"/>
      <c r="I28" s="7"/>
      <c r="J28" s="7"/>
      <c r="K28" s="7"/>
      <c r="L28" s="7"/>
      <c r="M28" s="93">
        <f>SUM(G28:L33)</f>
        <v>10</v>
      </c>
      <c r="N28" s="92">
        <v>10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customHeight="1">
      <c r="A29" s="57"/>
      <c r="B29" s="44"/>
      <c r="C29" s="7" t="s">
        <v>39</v>
      </c>
      <c r="D29" s="7" t="s">
        <v>18</v>
      </c>
      <c r="E29" s="7">
        <v>3</v>
      </c>
      <c r="F29" s="7">
        <v>2</v>
      </c>
      <c r="G29" s="7"/>
      <c r="H29" s="7">
        <v>2</v>
      </c>
      <c r="I29" s="7"/>
      <c r="J29" s="7"/>
      <c r="K29" s="7"/>
      <c r="L29" s="7"/>
      <c r="M29" s="44"/>
      <c r="N29" s="4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customHeight="1">
      <c r="A30" s="57"/>
      <c r="B30" s="44"/>
      <c r="C30" s="7" t="s">
        <v>58</v>
      </c>
      <c r="D30" s="7" t="s">
        <v>40</v>
      </c>
      <c r="E30" s="7">
        <v>2</v>
      </c>
      <c r="F30" s="7">
        <v>1</v>
      </c>
      <c r="G30" s="7"/>
      <c r="H30" s="7"/>
      <c r="I30" s="7">
        <v>1</v>
      </c>
      <c r="J30" s="7"/>
      <c r="K30" s="7"/>
      <c r="L30" s="7"/>
      <c r="M30" s="44"/>
      <c r="N30" s="4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customHeight="1">
      <c r="A31" s="57"/>
      <c r="B31" s="44"/>
      <c r="C31" s="7" t="s">
        <v>59</v>
      </c>
      <c r="D31" s="7" t="s">
        <v>40</v>
      </c>
      <c r="E31" s="7">
        <v>2</v>
      </c>
      <c r="F31" s="7">
        <v>1</v>
      </c>
      <c r="G31" s="7"/>
      <c r="H31" s="7"/>
      <c r="I31" s="7"/>
      <c r="J31" s="7">
        <v>1</v>
      </c>
      <c r="K31" s="7"/>
      <c r="L31" s="7"/>
      <c r="M31" s="44"/>
      <c r="N31" s="4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customHeight="1">
      <c r="A32" s="57"/>
      <c r="B32" s="44"/>
      <c r="C32" s="7" t="s">
        <v>57</v>
      </c>
      <c r="D32" s="7" t="s">
        <v>40</v>
      </c>
      <c r="E32" s="7">
        <v>3</v>
      </c>
      <c r="F32" s="7">
        <v>2</v>
      </c>
      <c r="G32" s="7"/>
      <c r="H32" s="7"/>
      <c r="I32" s="7"/>
      <c r="J32" s="7"/>
      <c r="K32" s="7">
        <v>2</v>
      </c>
      <c r="L32" s="7"/>
      <c r="M32" s="44"/>
      <c r="N32" s="4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customHeight="1">
      <c r="A33" s="57"/>
      <c r="B33" s="45"/>
      <c r="C33" s="7" t="s">
        <v>84</v>
      </c>
      <c r="D33" s="7" t="s">
        <v>41</v>
      </c>
      <c r="E33" s="7">
        <v>3</v>
      </c>
      <c r="F33" s="7">
        <v>2</v>
      </c>
      <c r="G33" s="7"/>
      <c r="H33" s="7"/>
      <c r="I33" s="7"/>
      <c r="J33" s="7"/>
      <c r="K33" s="7"/>
      <c r="L33" s="7">
        <v>2</v>
      </c>
      <c r="M33" s="45"/>
      <c r="N33" s="4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customHeight="1">
      <c r="A34" s="57"/>
      <c r="B34" s="84" t="s">
        <v>69</v>
      </c>
      <c r="C34" s="26" t="s">
        <v>42</v>
      </c>
      <c r="D34" s="26" t="s">
        <v>18</v>
      </c>
      <c r="E34" s="26">
        <v>3</v>
      </c>
      <c r="F34" s="26">
        <v>2</v>
      </c>
      <c r="G34" s="26">
        <v>2</v>
      </c>
      <c r="H34" s="30"/>
      <c r="I34" s="26"/>
      <c r="J34" s="26"/>
      <c r="K34" s="26"/>
      <c r="L34" s="26"/>
      <c r="M34" s="91">
        <f>SUM(G34:L39)</f>
        <v>12</v>
      </c>
      <c r="N34" s="96">
        <v>10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57"/>
      <c r="B35" s="85"/>
      <c r="C35" s="26" t="s">
        <v>61</v>
      </c>
      <c r="D35" s="26" t="s">
        <v>85</v>
      </c>
      <c r="E35" s="26">
        <v>3</v>
      </c>
      <c r="F35" s="26">
        <v>2</v>
      </c>
      <c r="G35" s="26"/>
      <c r="H35" s="26">
        <v>2</v>
      </c>
      <c r="I35" s="26"/>
      <c r="J35" s="31"/>
      <c r="K35" s="26"/>
      <c r="L35" s="26"/>
      <c r="M35" s="44"/>
      <c r="N35" s="47"/>
      <c r="O35" s="1"/>
      <c r="P35" s="12" t="s">
        <v>55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57"/>
      <c r="B36" s="85"/>
      <c r="C36" s="27" t="s">
        <v>62</v>
      </c>
      <c r="D36" s="26" t="s">
        <v>54</v>
      </c>
      <c r="E36" s="26">
        <v>3</v>
      </c>
      <c r="F36" s="26">
        <v>2</v>
      </c>
      <c r="G36" s="26"/>
      <c r="H36" s="26"/>
      <c r="I36" s="26">
        <v>2</v>
      </c>
      <c r="J36" s="31"/>
      <c r="K36" s="26"/>
      <c r="L36" s="26"/>
      <c r="M36" s="44"/>
      <c r="N36" s="47"/>
      <c r="O36" s="1"/>
      <c r="P36" s="4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customHeight="1">
      <c r="A37" s="57"/>
      <c r="B37" s="85"/>
      <c r="C37" s="26" t="s">
        <v>53</v>
      </c>
      <c r="D37" s="26" t="s">
        <v>54</v>
      </c>
      <c r="E37" s="26">
        <v>3</v>
      </c>
      <c r="F37" s="26">
        <v>2</v>
      </c>
      <c r="G37" s="30"/>
      <c r="H37" s="31"/>
      <c r="I37" s="32"/>
      <c r="J37" s="26">
        <v>2</v>
      </c>
      <c r="K37" s="26"/>
      <c r="L37" s="26"/>
      <c r="M37" s="44"/>
      <c r="N37" s="47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>
      <c r="A38" s="57"/>
      <c r="B38" s="85"/>
      <c r="C38" s="26" t="s">
        <v>43</v>
      </c>
      <c r="D38" s="26" t="s">
        <v>41</v>
      </c>
      <c r="E38" s="26">
        <v>3</v>
      </c>
      <c r="F38" s="26">
        <v>2</v>
      </c>
      <c r="G38" s="30"/>
      <c r="H38" s="26"/>
      <c r="I38" s="26"/>
      <c r="J38" s="26"/>
      <c r="K38" s="26">
        <v>2</v>
      </c>
      <c r="L38" s="30" t="s">
        <v>60</v>
      </c>
      <c r="M38" s="44"/>
      <c r="N38" s="47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customHeight="1">
      <c r="A39" s="57"/>
      <c r="B39" s="64"/>
      <c r="C39" s="26" t="s">
        <v>44</v>
      </c>
      <c r="D39" s="26" t="s">
        <v>41</v>
      </c>
      <c r="E39" s="26">
        <v>3</v>
      </c>
      <c r="F39" s="26">
        <v>2</v>
      </c>
      <c r="G39" s="30"/>
      <c r="H39" s="26"/>
      <c r="I39" s="26"/>
      <c r="J39" s="26"/>
      <c r="K39" s="30" t="s">
        <v>60</v>
      </c>
      <c r="L39" s="26">
        <v>2</v>
      </c>
      <c r="M39" s="45"/>
      <c r="N39" s="4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customHeight="1">
      <c r="A40" s="57"/>
      <c r="B40" s="74" t="s">
        <v>90</v>
      </c>
      <c r="C40" s="8" t="s">
        <v>45</v>
      </c>
      <c r="D40" s="7" t="s">
        <v>18</v>
      </c>
      <c r="E40" s="7">
        <v>4</v>
      </c>
      <c r="F40" s="7">
        <v>3</v>
      </c>
      <c r="G40" s="7">
        <v>3</v>
      </c>
      <c r="H40" s="7"/>
      <c r="I40" s="7"/>
      <c r="J40" s="7"/>
      <c r="K40" s="7"/>
      <c r="L40" s="7"/>
      <c r="M40" s="91">
        <f>SUM(G40:L42)</f>
        <v>8</v>
      </c>
      <c r="N40" s="96">
        <v>16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3" customHeight="1">
      <c r="A41" s="57"/>
      <c r="B41" s="87"/>
      <c r="C41" s="8" t="s">
        <v>46</v>
      </c>
      <c r="D41" s="7" t="s">
        <v>40</v>
      </c>
      <c r="E41" s="7">
        <v>4</v>
      </c>
      <c r="F41" s="7">
        <v>3</v>
      </c>
      <c r="G41" s="7"/>
      <c r="H41" s="7">
        <v>3</v>
      </c>
      <c r="I41" s="7"/>
      <c r="J41" s="7"/>
      <c r="K41" s="7"/>
      <c r="L41" s="7"/>
      <c r="M41" s="44"/>
      <c r="N41" s="47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customHeight="1">
      <c r="A42" s="57"/>
      <c r="B42" s="13" t="s">
        <v>70</v>
      </c>
      <c r="C42" s="8" t="s">
        <v>47</v>
      </c>
      <c r="D42" s="7" t="s">
        <v>18</v>
      </c>
      <c r="E42" s="7">
        <v>3</v>
      </c>
      <c r="F42" s="7">
        <v>2</v>
      </c>
      <c r="G42" s="7">
        <v>2</v>
      </c>
      <c r="H42" s="3"/>
      <c r="I42" s="7"/>
      <c r="J42" s="7"/>
      <c r="K42" s="7"/>
      <c r="L42" s="7"/>
      <c r="M42" s="45"/>
      <c r="N42" s="47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customHeight="1" thickBot="1">
      <c r="A43" s="16"/>
      <c r="B43" s="77" t="s">
        <v>48</v>
      </c>
      <c r="C43" s="78"/>
      <c r="D43" s="78"/>
      <c r="E43" s="78"/>
      <c r="F43" s="79"/>
      <c r="G43" s="5">
        <f t="shared" ref="G43:N43" si="0">SUM(G6:G42)</f>
        <v>30</v>
      </c>
      <c r="H43" s="5">
        <f t="shared" si="0"/>
        <v>28</v>
      </c>
      <c r="I43" s="5">
        <f t="shared" si="0"/>
        <v>15</v>
      </c>
      <c r="J43" s="5">
        <f t="shared" si="0"/>
        <v>18</v>
      </c>
      <c r="K43" s="5">
        <f t="shared" si="0"/>
        <v>8</v>
      </c>
      <c r="L43" s="5">
        <f t="shared" si="0"/>
        <v>4</v>
      </c>
      <c r="M43" s="5">
        <f t="shared" si="0"/>
        <v>103</v>
      </c>
      <c r="N43" s="17">
        <f t="shared" si="0"/>
        <v>84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">
      <c r="A44" s="81" t="s">
        <v>78</v>
      </c>
      <c r="B44" s="33" t="s">
        <v>63</v>
      </c>
      <c r="C44" s="26" t="s">
        <v>77</v>
      </c>
      <c r="D44" s="34" t="s">
        <v>79</v>
      </c>
      <c r="E44" s="26">
        <v>4</v>
      </c>
      <c r="F44" s="29">
        <v>4</v>
      </c>
      <c r="G44" s="26"/>
      <c r="H44" s="26"/>
      <c r="I44" s="35"/>
      <c r="J44" s="26"/>
      <c r="K44" s="29">
        <v>12</v>
      </c>
      <c r="L44" s="26"/>
      <c r="M44" s="94">
        <f>SUM(G44:L45)</f>
        <v>21</v>
      </c>
      <c r="N44" s="4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">
      <c r="A45" s="82"/>
      <c r="B45" s="33" t="s">
        <v>63</v>
      </c>
      <c r="C45" s="29" t="s">
        <v>89</v>
      </c>
      <c r="D45" s="29" t="s">
        <v>64</v>
      </c>
      <c r="E45" s="26">
        <v>4</v>
      </c>
      <c r="F45" s="29">
        <v>3</v>
      </c>
      <c r="G45" s="26"/>
      <c r="H45" s="26"/>
      <c r="I45" s="35"/>
      <c r="J45" s="35"/>
      <c r="K45" s="26"/>
      <c r="L45" s="29">
        <v>9</v>
      </c>
      <c r="M45" s="95"/>
      <c r="N45" s="4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45" customHeight="1">
      <c r="A46" s="82"/>
      <c r="B46" s="84" t="s">
        <v>68</v>
      </c>
      <c r="C46" s="29" t="s">
        <v>91</v>
      </c>
      <c r="D46" s="29" t="s">
        <v>65</v>
      </c>
      <c r="E46" s="26">
        <v>4</v>
      </c>
      <c r="F46" s="29">
        <v>4</v>
      </c>
      <c r="G46" s="26"/>
      <c r="H46" s="26"/>
      <c r="I46" s="29">
        <v>12</v>
      </c>
      <c r="J46" s="29"/>
      <c r="K46" s="36"/>
      <c r="L46" s="26"/>
      <c r="M46" s="93">
        <f>SUM(G46:L49)</f>
        <v>42</v>
      </c>
      <c r="N46" s="47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51" customHeight="1">
      <c r="A47" s="82"/>
      <c r="B47" s="85"/>
      <c r="C47" s="37" t="s">
        <v>92</v>
      </c>
      <c r="D47" s="29" t="s">
        <v>93</v>
      </c>
      <c r="E47" s="26">
        <v>4</v>
      </c>
      <c r="F47" s="29">
        <v>3</v>
      </c>
      <c r="G47" s="26"/>
      <c r="H47" s="26"/>
      <c r="I47" s="35"/>
      <c r="J47" s="29">
        <v>9</v>
      </c>
      <c r="K47" s="29">
        <v>9</v>
      </c>
      <c r="L47" s="29"/>
      <c r="M47" s="44"/>
      <c r="N47" s="47"/>
      <c r="O47" s="1"/>
      <c r="P47" s="4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0.25" customHeight="1">
      <c r="A48" s="82"/>
      <c r="B48" s="85"/>
      <c r="C48" s="86" t="s">
        <v>82</v>
      </c>
      <c r="D48" s="63" t="s">
        <v>66</v>
      </c>
      <c r="E48" s="65">
        <v>4</v>
      </c>
      <c r="F48" s="63">
        <v>4</v>
      </c>
      <c r="G48" s="65"/>
      <c r="H48" s="65"/>
      <c r="I48" s="66"/>
      <c r="J48" s="65"/>
      <c r="K48" s="63"/>
      <c r="L48" s="63">
        <v>12</v>
      </c>
      <c r="M48" s="44"/>
      <c r="N48" s="47"/>
      <c r="O48" s="1"/>
      <c r="P48" s="9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0.25" customHeight="1">
      <c r="A49" s="82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45"/>
      <c r="N49" s="47"/>
      <c r="O49" s="1"/>
      <c r="P49" s="4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">
      <c r="A50" s="82"/>
      <c r="B50" s="74" t="s">
        <v>87</v>
      </c>
      <c r="C50" s="21" t="s">
        <v>56</v>
      </c>
      <c r="D50" s="8" t="s">
        <v>67</v>
      </c>
      <c r="E50" s="7">
        <v>4</v>
      </c>
      <c r="F50" s="10">
        <v>3</v>
      </c>
      <c r="G50" s="7"/>
      <c r="H50" s="7"/>
      <c r="I50" s="8">
        <v>3</v>
      </c>
      <c r="J50" s="7"/>
      <c r="K50" s="6"/>
      <c r="L50" s="7"/>
      <c r="M50" s="93">
        <f>SUM(G50:L52)</f>
        <v>8</v>
      </c>
      <c r="N50" s="47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">
      <c r="A51" s="82"/>
      <c r="B51" s="75"/>
      <c r="C51" s="23" t="s">
        <v>83</v>
      </c>
      <c r="D51" s="22" t="s">
        <v>86</v>
      </c>
      <c r="E51" s="7">
        <v>4</v>
      </c>
      <c r="F51" s="10">
        <v>3</v>
      </c>
      <c r="G51" s="7"/>
      <c r="H51" s="7"/>
      <c r="I51" s="7"/>
      <c r="J51" s="8">
        <v>3</v>
      </c>
      <c r="K51" s="6"/>
      <c r="L51" s="7"/>
      <c r="M51" s="44"/>
      <c r="N51" s="47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4.5" customHeight="1">
      <c r="A52" s="83"/>
      <c r="B52" s="76"/>
      <c r="C52" s="38" t="s">
        <v>81</v>
      </c>
      <c r="D52" s="39" t="s">
        <v>88</v>
      </c>
      <c r="E52" s="26">
        <v>3</v>
      </c>
      <c r="F52" s="40">
        <v>2</v>
      </c>
      <c r="G52" s="41"/>
      <c r="H52" s="26">
        <v>2</v>
      </c>
      <c r="I52" s="26"/>
      <c r="J52" s="26"/>
      <c r="K52" s="29"/>
      <c r="L52" s="29"/>
      <c r="M52" s="45"/>
      <c r="N52" s="4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customHeight="1">
      <c r="A53" s="67" t="s">
        <v>49</v>
      </c>
      <c r="B53" s="68"/>
      <c r="C53" s="68"/>
      <c r="D53" s="68"/>
      <c r="E53" s="68"/>
      <c r="F53" s="69"/>
      <c r="G53" s="11">
        <f t="shared" ref="G53:L53" si="1">SUM(G43:G52)</f>
        <v>30</v>
      </c>
      <c r="H53" s="11">
        <f t="shared" si="1"/>
        <v>30</v>
      </c>
      <c r="I53" s="11">
        <f t="shared" si="1"/>
        <v>30</v>
      </c>
      <c r="J53" s="11">
        <f t="shared" si="1"/>
        <v>30</v>
      </c>
      <c r="K53" s="11">
        <f t="shared" si="1"/>
        <v>29</v>
      </c>
      <c r="L53" s="11">
        <f t="shared" si="1"/>
        <v>25</v>
      </c>
      <c r="M53" s="7">
        <f>SUM(G53:L53)</f>
        <v>174</v>
      </c>
      <c r="N53" s="1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customHeight="1">
      <c r="A54" s="70" t="s">
        <v>50</v>
      </c>
      <c r="B54" s="68"/>
      <c r="C54" s="68"/>
      <c r="D54" s="68"/>
      <c r="E54" s="68"/>
      <c r="F54" s="69"/>
      <c r="G54" s="7">
        <v>3</v>
      </c>
      <c r="H54" s="7">
        <v>3</v>
      </c>
      <c r="I54" s="7">
        <v>3</v>
      </c>
      <c r="J54" s="7">
        <v>3</v>
      </c>
      <c r="K54" s="7">
        <v>3</v>
      </c>
      <c r="L54" s="7">
        <v>3</v>
      </c>
      <c r="M54" s="7">
        <f t="shared" ref="M54:M56" si="2">SUM(G54:L54)</f>
        <v>18</v>
      </c>
      <c r="N54" s="1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customHeight="1">
      <c r="A55" s="70" t="s">
        <v>51</v>
      </c>
      <c r="B55" s="68"/>
      <c r="C55" s="68"/>
      <c r="D55" s="68"/>
      <c r="E55" s="68"/>
      <c r="F55" s="69"/>
      <c r="G55" s="42">
        <f t="shared" ref="G55:L55" si="3">G53+G54</f>
        <v>33</v>
      </c>
      <c r="H55" s="42">
        <f t="shared" si="3"/>
        <v>33</v>
      </c>
      <c r="I55" s="42">
        <f t="shared" si="3"/>
        <v>33</v>
      </c>
      <c r="J55" s="42">
        <f t="shared" si="3"/>
        <v>33</v>
      </c>
      <c r="K55" s="42">
        <f t="shared" si="3"/>
        <v>32</v>
      </c>
      <c r="L55" s="42">
        <f t="shared" si="3"/>
        <v>28</v>
      </c>
      <c r="M55" s="7">
        <f t="shared" si="2"/>
        <v>192</v>
      </c>
      <c r="N55" s="1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customHeight="1" thickBot="1">
      <c r="A56" s="71" t="s">
        <v>52</v>
      </c>
      <c r="B56" s="72"/>
      <c r="C56" s="72"/>
      <c r="D56" s="72"/>
      <c r="E56" s="72"/>
      <c r="F56" s="73"/>
      <c r="G56" s="19">
        <v>11</v>
      </c>
      <c r="H56" s="19">
        <v>11</v>
      </c>
      <c r="I56" s="19">
        <v>9</v>
      </c>
      <c r="J56" s="19">
        <v>10</v>
      </c>
      <c r="K56" s="19">
        <v>9</v>
      </c>
      <c r="L56" s="19">
        <v>8</v>
      </c>
      <c r="M56" s="19">
        <f t="shared" si="2"/>
        <v>58</v>
      </c>
      <c r="N56" s="20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68">
    <mergeCell ref="M22:M23"/>
    <mergeCell ref="M44:M45"/>
    <mergeCell ref="N44:N52"/>
    <mergeCell ref="M46:M49"/>
    <mergeCell ref="M50:M52"/>
    <mergeCell ref="M34:M39"/>
    <mergeCell ref="M40:M42"/>
    <mergeCell ref="N22:N23"/>
    <mergeCell ref="M24:M27"/>
    <mergeCell ref="N24:N27"/>
    <mergeCell ref="M28:M33"/>
    <mergeCell ref="N28:N33"/>
    <mergeCell ref="N34:N39"/>
    <mergeCell ref="N40:N42"/>
    <mergeCell ref="M11:M15"/>
    <mergeCell ref="N11:N15"/>
    <mergeCell ref="M16:M19"/>
    <mergeCell ref="N16:N19"/>
    <mergeCell ref="M20:M21"/>
    <mergeCell ref="N20:N21"/>
    <mergeCell ref="B43:F43"/>
    <mergeCell ref="B24:B27"/>
    <mergeCell ref="B28:B33"/>
    <mergeCell ref="A44:A52"/>
    <mergeCell ref="B46:B49"/>
    <mergeCell ref="C48:C49"/>
    <mergeCell ref="D48:D49"/>
    <mergeCell ref="F48:F49"/>
    <mergeCell ref="B34:B39"/>
    <mergeCell ref="B40:B41"/>
    <mergeCell ref="A6:A42"/>
    <mergeCell ref="B6:B10"/>
    <mergeCell ref="B11:B15"/>
    <mergeCell ref="B16:B19"/>
    <mergeCell ref="B20:B23"/>
    <mergeCell ref="A53:F53"/>
    <mergeCell ref="A54:F54"/>
    <mergeCell ref="A55:F55"/>
    <mergeCell ref="A56:F56"/>
    <mergeCell ref="E48:E49"/>
    <mergeCell ref="B50:B52"/>
    <mergeCell ref="G48:G49"/>
    <mergeCell ref="H48:H49"/>
    <mergeCell ref="I48:I49"/>
    <mergeCell ref="J48:J49"/>
    <mergeCell ref="K48:K49"/>
    <mergeCell ref="L48:L49"/>
    <mergeCell ref="I3:J3"/>
    <mergeCell ref="K3:L3"/>
    <mergeCell ref="I4:I5"/>
    <mergeCell ref="J4:J5"/>
    <mergeCell ref="K4:K5"/>
    <mergeCell ref="L4:L5"/>
    <mergeCell ref="M6:M10"/>
    <mergeCell ref="N6:N10"/>
    <mergeCell ref="M3:M5"/>
    <mergeCell ref="N3:N5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G4:G5"/>
    <mergeCell ref="H4:H5"/>
  </mergeCells>
  <phoneticPr fontId="14" type="noConversion"/>
  <pageMargins left="0.69986110925674438" right="0.69986110925674438" top="0.75" bottom="0.75" header="0" footer="0"/>
  <pageSetup paperSize="12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2026학년도 입학생 3개년 교육과정 편성표</vt:lpstr>
      <vt:lpstr>'2026학년도 입학생 3개년 교육과정 편성표'!Print_Area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2025-12-05T04:41:58Z</cp:lastPrinted>
  <dcterms:created xsi:type="dcterms:W3CDTF">2025-07-09T02:53:01Z</dcterms:created>
  <dcterms:modified xsi:type="dcterms:W3CDTF">2025-12-05T04:42:51Z</dcterms:modified>
</cp:coreProperties>
</file>