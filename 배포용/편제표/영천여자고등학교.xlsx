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3A3242-650D-4D4A-A029-E40CC9CF51EF}" xr6:coauthVersionLast="47" xr6:coauthVersionMax="47" xr10:uidLastSave="{00000000-0000-0000-0000-000000000000}"/>
  <bookViews>
    <workbookView xWindow="-120" yWindow="-120" windowWidth="29040" windowHeight="15720" xr2:uid="{5491F001-821C-4062-BE97-B4CA3369F9A7}"/>
  </bookViews>
  <sheets>
    <sheet name="2026학년도 입학생 3개년 교육과정 편성표" sheetId="1" r:id="rId1"/>
  </sheets>
  <definedNames>
    <definedName name="_xlnm.Print_Area" localSheetId="0">'2026학년도 입학생 3개년 교육과정 편성표'!$A$1:$O$66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" i="1" l="1"/>
  <c r="N62" i="1"/>
  <c r="M62" i="1"/>
  <c r="L62" i="1"/>
  <c r="K62" i="1"/>
  <c r="J62" i="1"/>
  <c r="I62" i="1"/>
  <c r="H62" i="1"/>
  <c r="O42" i="1"/>
  <c r="M42" i="1"/>
  <c r="M63" i="1" s="1"/>
  <c r="M65" i="1" s="1"/>
  <c r="L42" i="1"/>
  <c r="L63" i="1" s="1"/>
  <c r="L65" i="1" s="1"/>
  <c r="K42" i="1"/>
  <c r="J42" i="1"/>
  <c r="J63" i="1" s="1"/>
  <c r="J65" i="1" s="1"/>
  <c r="I42" i="1"/>
  <c r="H42" i="1"/>
  <c r="N38" i="1"/>
  <c r="N34" i="1"/>
  <c r="N28" i="1"/>
  <c r="N24" i="1"/>
  <c r="N22" i="1"/>
  <c r="N20" i="1"/>
  <c r="N15" i="1"/>
  <c r="N10" i="1"/>
  <c r="N5" i="1"/>
  <c r="L66" i="1" l="1"/>
  <c r="I63" i="1"/>
  <c r="I65" i="1" s="1"/>
  <c r="H63" i="1"/>
  <c r="N42" i="1"/>
  <c r="K63" i="1"/>
  <c r="K65" i="1" s="1"/>
  <c r="J66" i="1" s="1"/>
  <c r="H65" i="1"/>
  <c r="N63" i="1"/>
  <c r="H66" i="1" l="1"/>
  <c r="N66" i="1" s="1"/>
  <c r="N65" i="1"/>
</calcChain>
</file>

<file path=xl/sharedStrings.xml><?xml version="1.0" encoding="utf-8"?>
<sst xmlns="http://schemas.openxmlformats.org/spreadsheetml/2006/main" count="202" uniqueCount="107">
  <si>
    <t>학교유형: 일반고</t>
    <phoneticPr fontId="3" type="noConversion"/>
  </si>
  <si>
    <t>( 영천여자 )고등학교</t>
    <phoneticPr fontId="3" type="noConversion"/>
  </si>
  <si>
    <t>구</t>
  </si>
  <si>
    <t>교과(군)</t>
    <phoneticPr fontId="3" type="noConversion"/>
  </si>
  <si>
    <t>과목</t>
    <phoneticPr fontId="3" type="noConversion"/>
  </si>
  <si>
    <t>선택</t>
  </si>
  <si>
    <t>과목유형</t>
  </si>
  <si>
    <t>기본</t>
    <phoneticPr fontId="3" type="noConversion"/>
  </si>
  <si>
    <t>편성</t>
    <phoneticPr fontId="3" type="noConversion"/>
  </si>
  <si>
    <t>1학년</t>
  </si>
  <si>
    <t>2학년</t>
  </si>
  <si>
    <t>3학년</t>
  </si>
  <si>
    <t>이수</t>
  </si>
  <si>
    <t>필수</t>
  </si>
  <si>
    <t>분</t>
  </si>
  <si>
    <t>학점</t>
    <phoneticPr fontId="3" type="noConversion"/>
  </si>
  <si>
    <t>1학기</t>
  </si>
  <si>
    <t>2학기</t>
  </si>
  <si>
    <t>학
교
지
정</t>
    <phoneticPr fontId="3" type="noConversion"/>
  </si>
  <si>
    <t>국 어</t>
  </si>
  <si>
    <t>공통국어1</t>
    <phoneticPr fontId="3" type="noConversion"/>
  </si>
  <si>
    <t>지정</t>
    <phoneticPr fontId="3" type="noConversion"/>
  </si>
  <si>
    <t>공통</t>
  </si>
  <si>
    <t>공통국어2</t>
    <phoneticPr fontId="3" type="noConversion"/>
  </si>
  <si>
    <t>공통</t>
    <phoneticPr fontId="3" type="noConversion"/>
  </si>
  <si>
    <t>문학</t>
  </si>
  <si>
    <t>일반</t>
  </si>
  <si>
    <t>화법과 언어</t>
    <phoneticPr fontId="3" type="noConversion"/>
  </si>
  <si>
    <t>일반</t>
    <phoneticPr fontId="3" type="noConversion"/>
  </si>
  <si>
    <t>독서와 작문</t>
    <phoneticPr fontId="3" type="noConversion"/>
  </si>
  <si>
    <t>수 학</t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</si>
  <si>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</si>
  <si>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</si>
  <si>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</si>
  <si>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미적분Ⅰ</t>
    <phoneticPr fontId="3" type="noConversion"/>
  </si>
  <si>
    <t>확률과 통계</t>
    <phoneticPr fontId="3" type="noConversion"/>
  </si>
  <si>
    <t>영 어</t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</si>
  <si>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</si>
  <si>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</si>
  <si>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</si>
  <si>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</si>
  <si>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영어 독해와 작문</t>
    <phoneticPr fontId="3" type="noConversion"/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</si>
  <si>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</si>
  <si>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</si>
  <si>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</si>
  <si>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</si>
  <si>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과 학</t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</si>
  <si>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</si>
  <si>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</si>
  <si>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</si>
  <si>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</si>
  <si>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 육</t>
  </si>
  <si>
    <t>체육1</t>
    <phoneticPr fontId="3" type="noConversion"/>
  </si>
  <si>
    <t>체육2</t>
    <phoneticPr fontId="3" type="noConversion"/>
  </si>
  <si>
    <t>스포츠 문화*</t>
    <phoneticPr fontId="3" type="noConversion"/>
  </si>
  <si>
    <t>융합</t>
    <phoneticPr fontId="3" type="noConversion"/>
  </si>
  <si>
    <t>스포츠 과학*</t>
    <phoneticPr fontId="3" type="noConversion"/>
  </si>
  <si>
    <t>스포츠 생활1</t>
    <phoneticPr fontId="3" type="noConversion"/>
  </si>
  <si>
    <t>진로</t>
    <phoneticPr fontId="3" type="noConversion"/>
  </si>
  <si>
    <t>스포츠 생활2</t>
    <phoneticPr fontId="3" type="noConversion"/>
  </si>
  <si>
    <t>예 술</t>
  </si>
  <si>
    <t>음악</t>
  </si>
  <si>
    <t>음악 연주와 창작</t>
    <phoneticPr fontId="3" type="noConversion"/>
  </si>
  <si>
    <t>미술</t>
    <phoneticPr fontId="3" type="noConversion"/>
  </si>
  <si>
    <t>미술 창작</t>
    <phoneticPr fontId="3" type="noConversion"/>
  </si>
  <si>
    <t>교양</t>
    <phoneticPr fontId="3" type="noConversion"/>
  </si>
  <si>
    <t>진로와 직업</t>
    <phoneticPr fontId="3" type="noConversion"/>
  </si>
  <si>
    <t>(2)</t>
    <phoneticPr fontId="3" type="noConversion"/>
  </si>
  <si>
    <t>논리와 사고</t>
    <phoneticPr fontId="3" type="noConversion"/>
  </si>
  <si>
    <t>논술</t>
    <phoneticPr fontId="3" type="noConversion"/>
  </si>
  <si>
    <t>학
생
선
택</t>
    <phoneticPr fontId="3" type="noConversion"/>
  </si>
  <si>
    <t>국어/
수학/
영어/
예술</t>
    <phoneticPr fontId="3" type="noConversion"/>
  </si>
  <si>
    <t>택1</t>
  </si>
  <si>
    <t>진로/
융합</t>
    <phoneticPr fontId="3" type="noConversion"/>
  </si>
  <si>
    <t>택1</t>
    <phoneticPr fontId="3" type="noConversion"/>
  </si>
  <si>
    <t>주제 탐구 독서/미적분Ⅱ/합창·합주</t>
    <phoneticPr fontId="3" type="noConversion"/>
  </si>
  <si>
    <t>매체 의사소통/수학과 문화/심화 영어 독해와 작문</t>
    <phoneticPr fontId="3" type="noConversion"/>
  </si>
  <si>
    <t>3/4</t>
    <phoneticPr fontId="3" type="noConversion"/>
  </si>
  <si>
    <t>사회
/과학</t>
    <phoneticPr fontId="3" type="noConversion"/>
  </si>
  <si>
    <t>한국지리 탐구/동아시아 역사 기행/현대사회와 윤리/경제/ 
물리학/화학/생명과학</t>
    <phoneticPr fontId="3" type="noConversion"/>
  </si>
  <si>
    <t>택3</t>
    <phoneticPr fontId="3" type="noConversion"/>
  </si>
  <si>
    <t>일반/
진로</t>
    <phoneticPr fontId="3" type="noConversion"/>
  </si>
  <si>
    <t>세계시민과 지리/세계사/사회와 문화/윤리와 사상/
지구과학/물질과 에너지/세포와 물질대사</t>
    <phoneticPr fontId="3" type="noConversion"/>
  </si>
  <si>
    <t>택2</t>
  </si>
  <si>
    <t>도시의 미래 탐구/정치/윤리문제 탐구/
역학과 에너지/화학 반응의 세계/생물의 유전/지구시스템과학</t>
    <phoneticPr fontId="3" type="noConversion"/>
  </si>
  <si>
    <t>택2</t>
    <phoneticPr fontId="3" type="noConversion"/>
  </si>
  <si>
    <t>제2
외국어</t>
    <phoneticPr fontId="3" type="noConversion"/>
  </si>
  <si>
    <t>일본어/중국어</t>
    <phoneticPr fontId="3" type="noConversion"/>
  </si>
  <si>
    <t>일본 문화/중국 문화</t>
    <phoneticPr fontId="3" type="noConversion"/>
  </si>
  <si>
    <t>예술</t>
    <phoneticPr fontId="3" type="noConversion"/>
  </si>
  <si>
    <t>음악 감상과 비평/미술 감상과 비평</t>
    <phoneticPr fontId="3" type="noConversion"/>
  </si>
  <si>
    <t>음악과 미디어/미술과 매체</t>
    <phoneticPr fontId="3" type="noConversion"/>
  </si>
  <si>
    <t>학생선택 이수 학점 소계</t>
    <phoneticPr fontId="3" type="noConversion"/>
  </si>
  <si>
    <t>교과 이수 학점 소계</t>
    <phoneticPr fontId="3" type="noConversion"/>
  </si>
  <si>
    <t>창의적 체험활동</t>
  </si>
  <si>
    <t>학기별 총 이수 학점</t>
    <phoneticPr fontId="3" type="noConversion"/>
  </si>
  <si>
    <t>학년별 총 이수 학점</t>
    <phoneticPr fontId="3" type="noConversion"/>
  </si>
  <si>
    <t>일반/
진로/
융합</t>
    <phoneticPr fontId="3" type="noConversion"/>
  </si>
  <si>
    <t>사회/
과학/
제2외국어/
교양</t>
    <phoneticPr fontId="3" type="noConversion"/>
  </si>
  <si>
    <t>언어생활 탐구/실용통계/심화 영어</t>
    <phoneticPr fontId="3" type="noConversion"/>
  </si>
  <si>
    <r>
      <rPr>
        <sz val="9.5"/>
        <color rgb="FF000000"/>
        <rFont val="맑은 고딕"/>
        <family val="3"/>
        <charset val="129"/>
      </rPr>
      <t>기후변화와 지속가능한 세계/법과 사회/인문학과 윤리/</t>
    </r>
    <r>
      <rPr>
        <sz val="10"/>
        <color rgb="FF000000"/>
        <rFont val="맑은 고딕"/>
        <family val="3"/>
        <charset val="129"/>
      </rPr>
      <t xml:space="preserve">
전자기와 양자/과학의 역사와 문화/기후변화와 환경생태</t>
    </r>
    <phoneticPr fontId="3" type="noConversion"/>
  </si>
  <si>
    <t>사회문제 탐구/융합과학 탐구/보건/생태와 환경/심화 일본어</t>
    <phoneticPr fontId="3" type="noConversion"/>
  </si>
  <si>
    <t>사회</t>
    <phoneticPr fontId="3" type="noConversion"/>
  </si>
  <si>
    <t>독서 토론과 글쓰기/ 기하/ 영미 문학 읽기</t>
    <phoneticPr fontId="3" type="noConversion"/>
  </si>
  <si>
    <t xml:space="preserve">문학과 영상/ 수학과제 탐구/ 세계 문화와 영어 </t>
    <phoneticPr fontId="3" type="noConversion"/>
  </si>
  <si>
    <t>2026학년도 입학생 3개년 교육과정 편성표</t>
    <phoneticPr fontId="3" type="noConversion"/>
  </si>
  <si>
    <t>인간과 경제활동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</si>
</sst>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6.7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A6A6A6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2.4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/>
      <bottom/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80"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49" fontId="7" fillId="4" borderId="1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1" fillId="0" borderId="0" xfId="0" applyFont="1"/>
    <xf numFmtId="0" fontId="11" fillId="3" borderId="1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7" xfId="0" applyNumberFormat="1" applyFont="1" applyFill="1" applyBorder="1" applyAlignment="1">
      <alignment horizontal="center" vertical="center" wrapText="1"/>
    </xf>
    <xf numFmtId="49" fontId="8" fillId="4" borderId="17" xfId="0" applyNumberFormat="1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7992-9DDB-447E-B2CE-D226B517A6A2}">
  <sheetPr>
    <pageSetUpPr fitToPage="1"/>
  </sheetPr>
  <dimension ref="A1:S67"/>
  <sheetViews>
    <sheetView tabSelected="1" topLeftCell="A10" zoomScale="115" zoomScaleNormal="115" workbookViewId="0">
      <selection activeCell="C39" sqref="C39"/>
    </sheetView>
  </sheetViews>
  <sheetFormatPr defaultColWidth="8.88671875" defaultRowHeight="13.5" x14ac:dyDescent="0.15"/>
  <cols>
    <col min="1" max="1" width="3.5546875" customWidth="1"/>
    <col min="2" max="2" width="7.77734375" customWidth="1"/>
    <col min="3" max="3" width="42" customWidth="1"/>
    <col min="4" max="4" width="6" customWidth="1"/>
    <col min="5" max="5" width="6.44140625" customWidth="1"/>
    <col min="6" max="13" width="4.77734375" customWidth="1"/>
    <col min="14" max="14" width="5.77734375" customWidth="1"/>
    <col min="15" max="15" width="5.44140625" customWidth="1"/>
  </cols>
  <sheetData>
    <row r="1" spans="1:15" ht="39.75" customHeight="1" thickBot="1" x14ac:dyDescent="0.2">
      <c r="A1" s="49" t="s">
        <v>105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15" ht="24" customHeight="1" x14ac:dyDescent="0.3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4"/>
      <c r="L2" s="55" t="s">
        <v>1</v>
      </c>
      <c r="M2" s="55"/>
      <c r="N2" s="55"/>
      <c r="O2" s="56"/>
    </row>
    <row r="3" spans="1:15" ht="15.6" customHeight="1" x14ac:dyDescent="0.15">
      <c r="A3" s="1" t="s">
        <v>2</v>
      </c>
      <c r="B3" s="57" t="s">
        <v>3</v>
      </c>
      <c r="C3" s="57" t="s">
        <v>4</v>
      </c>
      <c r="D3" s="57" t="s">
        <v>5</v>
      </c>
      <c r="E3" s="57" t="s">
        <v>6</v>
      </c>
      <c r="F3" s="1" t="s">
        <v>7</v>
      </c>
      <c r="G3" s="1" t="s">
        <v>8</v>
      </c>
      <c r="H3" s="59" t="s">
        <v>9</v>
      </c>
      <c r="I3" s="60"/>
      <c r="J3" s="59" t="s">
        <v>10</v>
      </c>
      <c r="K3" s="60"/>
      <c r="L3" s="59" t="s">
        <v>11</v>
      </c>
      <c r="M3" s="60"/>
      <c r="N3" s="1" t="s">
        <v>12</v>
      </c>
      <c r="O3" s="1" t="s">
        <v>13</v>
      </c>
    </row>
    <row r="4" spans="1:15" ht="14.45" customHeight="1" x14ac:dyDescent="0.15">
      <c r="A4" s="2" t="s">
        <v>14</v>
      </c>
      <c r="B4" s="58"/>
      <c r="C4" s="58"/>
      <c r="D4" s="58"/>
      <c r="E4" s="58"/>
      <c r="F4" s="2" t="s">
        <v>15</v>
      </c>
      <c r="G4" s="2" t="s">
        <v>15</v>
      </c>
      <c r="H4" s="3" t="s">
        <v>16</v>
      </c>
      <c r="I4" s="3" t="s">
        <v>17</v>
      </c>
      <c r="J4" s="3" t="s">
        <v>16</v>
      </c>
      <c r="K4" s="3" t="s">
        <v>17</v>
      </c>
      <c r="L4" s="3" t="s">
        <v>16</v>
      </c>
      <c r="M4" s="3" t="s">
        <v>17</v>
      </c>
      <c r="N4" s="2" t="s">
        <v>15</v>
      </c>
      <c r="O4" s="2" t="s">
        <v>15</v>
      </c>
    </row>
    <row r="5" spans="1:15" x14ac:dyDescent="0.15">
      <c r="A5" s="42" t="s">
        <v>18</v>
      </c>
      <c r="B5" s="42" t="s">
        <v>19</v>
      </c>
      <c r="C5" s="4" t="s">
        <v>20</v>
      </c>
      <c r="D5" s="4" t="s">
        <v>21</v>
      </c>
      <c r="E5" s="4" t="s">
        <v>22</v>
      </c>
      <c r="F5" s="4">
        <v>4</v>
      </c>
      <c r="G5" s="4">
        <v>4</v>
      </c>
      <c r="H5" s="4">
        <v>4</v>
      </c>
      <c r="I5" s="4"/>
      <c r="J5" s="4"/>
      <c r="K5" s="4"/>
      <c r="L5" s="4"/>
      <c r="M5" s="4"/>
      <c r="N5" s="45">
        <f>SUM(H5:M9)</f>
        <v>20</v>
      </c>
      <c r="O5" s="45">
        <v>8</v>
      </c>
    </row>
    <row r="6" spans="1:15" x14ac:dyDescent="0.15">
      <c r="A6" s="43"/>
      <c r="B6" s="43"/>
      <c r="C6" s="4" t="s">
        <v>23</v>
      </c>
      <c r="D6" s="4" t="s">
        <v>21</v>
      </c>
      <c r="E6" s="4" t="s">
        <v>24</v>
      </c>
      <c r="F6" s="4">
        <v>4</v>
      </c>
      <c r="G6" s="4">
        <v>4</v>
      </c>
      <c r="H6" s="4"/>
      <c r="I6" s="4">
        <v>4</v>
      </c>
      <c r="J6" s="4"/>
      <c r="K6" s="4"/>
      <c r="L6" s="4"/>
      <c r="M6" s="4"/>
      <c r="N6" s="46"/>
      <c r="O6" s="46"/>
    </row>
    <row r="7" spans="1:15" x14ac:dyDescent="0.15">
      <c r="A7" s="43"/>
      <c r="B7" s="43"/>
      <c r="C7" s="4" t="s">
        <v>25</v>
      </c>
      <c r="D7" s="4" t="s">
        <v>21</v>
      </c>
      <c r="E7" s="4" t="s">
        <v>26</v>
      </c>
      <c r="F7" s="4">
        <v>4</v>
      </c>
      <c r="G7" s="4">
        <v>4</v>
      </c>
      <c r="H7" s="4"/>
      <c r="I7" s="4"/>
      <c r="J7" s="4">
        <v>4</v>
      </c>
      <c r="K7" s="4"/>
      <c r="L7" s="4"/>
      <c r="M7" s="4"/>
      <c r="N7" s="46"/>
      <c r="O7" s="46"/>
    </row>
    <row r="8" spans="1:15" x14ac:dyDescent="0.15">
      <c r="A8" s="43"/>
      <c r="B8" s="43"/>
      <c r="C8" s="4" t="s">
        <v>27</v>
      </c>
      <c r="D8" s="4" t="s">
        <v>21</v>
      </c>
      <c r="E8" s="4" t="s">
        <v>28</v>
      </c>
      <c r="F8" s="4">
        <v>4</v>
      </c>
      <c r="G8" s="4">
        <v>4</v>
      </c>
      <c r="H8" s="4"/>
      <c r="I8" s="4"/>
      <c r="J8" s="4"/>
      <c r="K8" s="4">
        <v>4</v>
      </c>
      <c r="L8" s="4"/>
      <c r="M8" s="4"/>
      <c r="N8" s="46"/>
      <c r="O8" s="46"/>
    </row>
    <row r="9" spans="1:15" x14ac:dyDescent="0.15">
      <c r="A9" s="43"/>
      <c r="B9" s="5"/>
      <c r="C9" s="4" t="s">
        <v>29</v>
      </c>
      <c r="D9" s="4" t="s">
        <v>21</v>
      </c>
      <c r="E9" s="4" t="s">
        <v>28</v>
      </c>
      <c r="F9" s="4">
        <v>4</v>
      </c>
      <c r="G9" s="4">
        <v>4</v>
      </c>
      <c r="H9" s="4"/>
      <c r="I9" s="4"/>
      <c r="J9" s="4"/>
      <c r="K9" s="4"/>
      <c r="L9" s="4">
        <v>4</v>
      </c>
      <c r="M9" s="4"/>
      <c r="N9" s="47"/>
      <c r="O9" s="47"/>
    </row>
    <row r="10" spans="1:15" x14ac:dyDescent="0.15">
      <c r="A10" s="43"/>
      <c r="B10" s="42" t="s">
        <v>30</v>
      </c>
      <c r="C10" s="4" t="s">
        <v>31</v>
      </c>
      <c r="D10" s="4" t="s">
        <v>21</v>
      </c>
      <c r="E10" s="4" t="s">
        <v>22</v>
      </c>
      <c r="F10" s="4">
        <v>4</v>
      </c>
      <c r="G10" s="4">
        <v>4</v>
      </c>
      <c r="H10" s="4">
        <v>4</v>
      </c>
      <c r="I10" s="4"/>
      <c r="J10" s="4"/>
      <c r="K10" s="4"/>
      <c r="L10" s="4"/>
      <c r="M10" s="4"/>
      <c r="N10" s="45">
        <f>SUM(H10:M14)</f>
        <v>20</v>
      </c>
      <c r="O10" s="45">
        <v>8</v>
      </c>
    </row>
    <row r="11" spans="1:15" x14ac:dyDescent="0.15">
      <c r="A11" s="43"/>
      <c r="B11" s="43"/>
      <c r="C11" s="4" t="s">
        <v>32</v>
      </c>
      <c r="D11" s="4" t="s">
        <v>21</v>
      </c>
      <c r="E11" s="4" t="s">
        <v>24</v>
      </c>
      <c r="F11" s="4">
        <v>4</v>
      </c>
      <c r="G11" s="4">
        <v>4</v>
      </c>
      <c r="H11" s="4"/>
      <c r="I11" s="4">
        <v>4</v>
      </c>
      <c r="J11" s="4"/>
      <c r="K11" s="4"/>
      <c r="L11" s="4"/>
      <c r="M11" s="4"/>
      <c r="N11" s="46"/>
      <c r="O11" s="46"/>
    </row>
    <row r="12" spans="1:15" x14ac:dyDescent="0.15">
      <c r="A12" s="43"/>
      <c r="B12" s="43"/>
      <c r="C12" s="4" t="s">
        <v>33</v>
      </c>
      <c r="D12" s="4" t="s">
        <v>21</v>
      </c>
      <c r="E12" s="4" t="s">
        <v>26</v>
      </c>
      <c r="F12" s="4">
        <v>4</v>
      </c>
      <c r="G12" s="4">
        <v>4</v>
      </c>
      <c r="H12" s="4"/>
      <c r="I12" s="4"/>
      <c r="J12" s="4">
        <v>4</v>
      </c>
      <c r="K12" s="4"/>
      <c r="L12" s="4"/>
      <c r="M12" s="4"/>
      <c r="N12" s="46"/>
      <c r="O12" s="46"/>
    </row>
    <row r="13" spans="1:15" x14ac:dyDescent="0.15">
      <c r="A13" s="43"/>
      <c r="B13" s="43"/>
      <c r="C13" s="4" t="s">
        <v>34</v>
      </c>
      <c r="D13" s="4" t="s">
        <v>21</v>
      </c>
      <c r="E13" s="4" t="s">
        <v>26</v>
      </c>
      <c r="F13" s="4">
        <v>4</v>
      </c>
      <c r="G13" s="4">
        <v>4</v>
      </c>
      <c r="H13" s="4"/>
      <c r="I13" s="4"/>
      <c r="J13" s="4"/>
      <c r="K13" s="4">
        <v>4</v>
      </c>
      <c r="L13" s="4"/>
      <c r="M13" s="4"/>
      <c r="N13" s="46"/>
      <c r="O13" s="46"/>
    </row>
    <row r="14" spans="1:15" x14ac:dyDescent="0.15">
      <c r="A14" s="43"/>
      <c r="B14" s="43"/>
      <c r="C14" s="4" t="s">
        <v>35</v>
      </c>
      <c r="D14" s="4" t="s">
        <v>21</v>
      </c>
      <c r="E14" s="4" t="s">
        <v>28</v>
      </c>
      <c r="F14" s="4">
        <v>4</v>
      </c>
      <c r="G14" s="4">
        <v>4</v>
      </c>
      <c r="H14" s="4"/>
      <c r="I14" s="4"/>
      <c r="J14" s="4"/>
      <c r="K14" s="4"/>
      <c r="L14" s="4">
        <v>4</v>
      </c>
      <c r="M14" s="4"/>
      <c r="N14" s="46"/>
      <c r="O14" s="46"/>
    </row>
    <row r="15" spans="1:15" x14ac:dyDescent="0.15">
      <c r="A15" s="43"/>
      <c r="B15" s="42" t="s">
        <v>36</v>
      </c>
      <c r="C15" s="4" t="s">
        <v>37</v>
      </c>
      <c r="D15" s="4" t="s">
        <v>21</v>
      </c>
      <c r="E15" s="4" t="s">
        <v>22</v>
      </c>
      <c r="F15" s="4">
        <v>4</v>
      </c>
      <c r="G15" s="4">
        <v>4</v>
      </c>
      <c r="H15" s="4">
        <v>4</v>
      </c>
      <c r="I15" s="4"/>
      <c r="J15" s="4"/>
      <c r="K15" s="4"/>
      <c r="L15" s="4"/>
      <c r="M15" s="4"/>
      <c r="N15" s="45">
        <f>SUM(H15:M19)</f>
        <v>20</v>
      </c>
      <c r="O15" s="45">
        <v>8</v>
      </c>
    </row>
    <row r="16" spans="1:15" x14ac:dyDescent="0.15">
      <c r="A16" s="43"/>
      <c r="B16" s="43"/>
      <c r="C16" s="4" t="s">
        <v>38</v>
      </c>
      <c r="D16" s="4" t="s">
        <v>21</v>
      </c>
      <c r="E16" s="4" t="s">
        <v>24</v>
      </c>
      <c r="F16" s="4">
        <v>4</v>
      </c>
      <c r="G16" s="4">
        <v>4</v>
      </c>
      <c r="H16" s="4"/>
      <c r="I16" s="4">
        <v>4</v>
      </c>
      <c r="J16" s="4"/>
      <c r="K16" s="4"/>
      <c r="L16" s="4"/>
      <c r="M16" s="4"/>
      <c r="N16" s="46"/>
      <c r="O16" s="46"/>
    </row>
    <row r="17" spans="1:15" x14ac:dyDescent="0.15">
      <c r="A17" s="43"/>
      <c r="B17" s="43"/>
      <c r="C17" s="4" t="s">
        <v>39</v>
      </c>
      <c r="D17" s="4" t="s">
        <v>21</v>
      </c>
      <c r="E17" s="4" t="s">
        <v>28</v>
      </c>
      <c r="F17" s="4">
        <v>4</v>
      </c>
      <c r="G17" s="4">
        <v>4</v>
      </c>
      <c r="H17" s="4"/>
      <c r="I17" s="4"/>
      <c r="J17" s="4">
        <v>4</v>
      </c>
      <c r="K17" s="4"/>
      <c r="L17" s="4"/>
      <c r="M17" s="4"/>
      <c r="N17" s="46"/>
      <c r="O17" s="46"/>
    </row>
    <row r="18" spans="1:15" x14ac:dyDescent="0.15">
      <c r="A18" s="43"/>
      <c r="B18" s="43"/>
      <c r="C18" s="4" t="s">
        <v>40</v>
      </c>
      <c r="D18" s="4" t="s">
        <v>21</v>
      </c>
      <c r="E18" s="4" t="s">
        <v>28</v>
      </c>
      <c r="F18" s="4">
        <v>4</v>
      </c>
      <c r="G18" s="4">
        <v>4</v>
      </c>
      <c r="H18" s="4"/>
      <c r="I18" s="4"/>
      <c r="J18" s="4"/>
      <c r="K18" s="4">
        <v>4</v>
      </c>
      <c r="L18" s="4"/>
      <c r="M18" s="4"/>
      <c r="N18" s="46"/>
      <c r="O18" s="46"/>
    </row>
    <row r="19" spans="1:15" x14ac:dyDescent="0.15">
      <c r="A19" s="43"/>
      <c r="B19" s="43"/>
      <c r="C19" s="4" t="s">
        <v>41</v>
      </c>
      <c r="D19" s="4" t="s">
        <v>21</v>
      </c>
      <c r="E19" s="4" t="s">
        <v>28</v>
      </c>
      <c r="F19" s="4">
        <v>4</v>
      </c>
      <c r="G19" s="4">
        <v>4</v>
      </c>
      <c r="H19" s="4"/>
      <c r="I19" s="4"/>
      <c r="J19" s="4"/>
      <c r="K19" s="4"/>
      <c r="L19" s="4">
        <v>4</v>
      </c>
      <c r="M19" s="4"/>
      <c r="N19" s="46"/>
      <c r="O19" s="46"/>
    </row>
    <row r="20" spans="1:15" x14ac:dyDescent="0.15">
      <c r="A20" s="43"/>
      <c r="B20" s="42" t="s">
        <v>102</v>
      </c>
      <c r="C20" s="4" t="s">
        <v>42</v>
      </c>
      <c r="D20" s="4" t="s">
        <v>21</v>
      </c>
      <c r="E20" s="4" t="s">
        <v>22</v>
      </c>
      <c r="F20" s="4">
        <v>3</v>
      </c>
      <c r="G20" s="4">
        <v>3</v>
      </c>
      <c r="H20" s="4">
        <v>3</v>
      </c>
      <c r="I20" s="4"/>
      <c r="J20" s="4"/>
      <c r="K20" s="4"/>
      <c r="L20" s="4"/>
      <c r="M20" s="4"/>
      <c r="N20" s="45">
        <f>SUM(H20:M21)</f>
        <v>6</v>
      </c>
      <c r="O20" s="45">
        <v>6</v>
      </c>
    </row>
    <row r="21" spans="1:15" x14ac:dyDescent="0.15">
      <c r="A21" s="43"/>
      <c r="B21" s="43"/>
      <c r="C21" s="4" t="s">
        <v>43</v>
      </c>
      <c r="D21" s="4" t="s">
        <v>21</v>
      </c>
      <c r="E21" s="4" t="s">
        <v>24</v>
      </c>
      <c r="F21" s="4">
        <v>3</v>
      </c>
      <c r="G21" s="4">
        <v>3</v>
      </c>
      <c r="H21" s="4"/>
      <c r="I21" s="4">
        <v>3</v>
      </c>
      <c r="J21" s="4"/>
      <c r="K21" s="4"/>
      <c r="L21" s="4"/>
      <c r="M21" s="4"/>
      <c r="N21" s="47"/>
      <c r="O21" s="47"/>
    </row>
    <row r="22" spans="1:15" x14ac:dyDescent="0.15">
      <c r="A22" s="43"/>
      <c r="B22" s="43"/>
      <c r="C22" s="4" t="s">
        <v>44</v>
      </c>
      <c r="D22" s="4" t="s">
        <v>21</v>
      </c>
      <c r="E22" s="4" t="s">
        <v>22</v>
      </c>
      <c r="F22" s="4">
        <v>4</v>
      </c>
      <c r="G22" s="4">
        <v>4</v>
      </c>
      <c r="H22" s="4">
        <v>4</v>
      </c>
      <c r="I22" s="4"/>
      <c r="J22" s="4"/>
      <c r="K22" s="4"/>
      <c r="L22" s="4"/>
      <c r="M22" s="4"/>
      <c r="N22" s="45">
        <f>SUM(H22:M23)</f>
        <v>8</v>
      </c>
      <c r="O22" s="45">
        <v>8</v>
      </c>
    </row>
    <row r="23" spans="1:15" x14ac:dyDescent="0.15">
      <c r="A23" s="43"/>
      <c r="B23" s="48"/>
      <c r="C23" s="4" t="s">
        <v>45</v>
      </c>
      <c r="D23" s="4" t="s">
        <v>21</v>
      </c>
      <c r="E23" s="4" t="s">
        <v>24</v>
      </c>
      <c r="F23" s="4">
        <v>4</v>
      </c>
      <c r="G23" s="4">
        <v>4</v>
      </c>
      <c r="H23" s="4"/>
      <c r="I23" s="4">
        <v>4</v>
      </c>
      <c r="J23" s="4"/>
      <c r="K23" s="4"/>
      <c r="L23" s="4"/>
      <c r="M23" s="4"/>
      <c r="N23" s="47"/>
      <c r="O23" s="47"/>
    </row>
    <row r="24" spans="1:15" x14ac:dyDescent="0.15">
      <c r="A24" s="43"/>
      <c r="B24" s="42" t="s">
        <v>46</v>
      </c>
      <c r="C24" s="4" t="s">
        <v>47</v>
      </c>
      <c r="D24" s="4" t="s">
        <v>21</v>
      </c>
      <c r="E24" s="4" t="s">
        <v>22</v>
      </c>
      <c r="F24" s="4">
        <v>4</v>
      </c>
      <c r="G24" s="4">
        <v>4</v>
      </c>
      <c r="H24" s="4">
        <v>4</v>
      </c>
      <c r="I24" s="4"/>
      <c r="J24" s="4"/>
      <c r="K24" s="4"/>
      <c r="L24" s="4"/>
      <c r="M24" s="4"/>
      <c r="N24" s="45">
        <f>SUM(H24:M27)</f>
        <v>10</v>
      </c>
      <c r="O24" s="45">
        <v>10</v>
      </c>
    </row>
    <row r="25" spans="1:15" x14ac:dyDescent="0.15">
      <c r="A25" s="43"/>
      <c r="B25" s="43"/>
      <c r="C25" s="4" t="s">
        <v>48</v>
      </c>
      <c r="D25" s="4" t="s">
        <v>21</v>
      </c>
      <c r="E25" s="4" t="s">
        <v>24</v>
      </c>
      <c r="F25" s="4">
        <v>4</v>
      </c>
      <c r="G25" s="4">
        <v>4</v>
      </c>
      <c r="H25" s="4"/>
      <c r="I25" s="4">
        <v>4</v>
      </c>
      <c r="J25" s="4"/>
      <c r="K25" s="4"/>
      <c r="L25" s="4"/>
      <c r="M25" s="4"/>
      <c r="N25" s="46"/>
      <c r="O25" s="46"/>
    </row>
    <row r="26" spans="1:15" x14ac:dyDescent="0.15">
      <c r="A26" s="43"/>
      <c r="B26" s="43"/>
      <c r="C26" s="4" t="s">
        <v>49</v>
      </c>
      <c r="D26" s="4" t="s">
        <v>21</v>
      </c>
      <c r="E26" s="4" t="s">
        <v>24</v>
      </c>
      <c r="F26" s="4">
        <v>1</v>
      </c>
      <c r="G26" s="4">
        <v>1</v>
      </c>
      <c r="H26" s="4">
        <v>1</v>
      </c>
      <c r="I26" s="4"/>
      <c r="J26" s="4"/>
      <c r="K26" s="4"/>
      <c r="L26" s="4"/>
      <c r="M26" s="4"/>
      <c r="N26" s="46"/>
      <c r="O26" s="46"/>
    </row>
    <row r="27" spans="1:15" x14ac:dyDescent="0.15">
      <c r="A27" s="43"/>
      <c r="B27" s="48"/>
      <c r="C27" s="4" t="s">
        <v>50</v>
      </c>
      <c r="D27" s="4" t="s">
        <v>21</v>
      </c>
      <c r="E27" s="4" t="s">
        <v>22</v>
      </c>
      <c r="F27" s="4">
        <v>1</v>
      </c>
      <c r="G27" s="4">
        <v>1</v>
      </c>
      <c r="H27" s="4"/>
      <c r="I27" s="4">
        <v>1</v>
      </c>
      <c r="J27" s="4"/>
      <c r="K27" s="4"/>
      <c r="L27" s="4"/>
      <c r="M27" s="4"/>
      <c r="N27" s="47"/>
      <c r="O27" s="47"/>
    </row>
    <row r="28" spans="1:15" x14ac:dyDescent="0.15">
      <c r="A28" s="43"/>
      <c r="B28" s="42" t="s">
        <v>51</v>
      </c>
      <c r="C28" s="4" t="s">
        <v>52</v>
      </c>
      <c r="D28" s="4" t="s">
        <v>21</v>
      </c>
      <c r="E28" s="4" t="s">
        <v>26</v>
      </c>
      <c r="F28" s="4">
        <v>3</v>
      </c>
      <c r="G28" s="4">
        <v>2</v>
      </c>
      <c r="H28" s="4">
        <v>2</v>
      </c>
      <c r="I28" s="4"/>
      <c r="J28" s="4"/>
      <c r="K28" s="4"/>
      <c r="L28" s="4"/>
      <c r="M28" s="4"/>
      <c r="N28" s="45">
        <f>SUM(H28:M33)</f>
        <v>10</v>
      </c>
      <c r="O28" s="45">
        <v>10</v>
      </c>
    </row>
    <row r="29" spans="1:15" x14ac:dyDescent="0.15">
      <c r="A29" s="43"/>
      <c r="B29" s="43"/>
      <c r="C29" s="4" t="s">
        <v>53</v>
      </c>
      <c r="D29" s="4" t="s">
        <v>21</v>
      </c>
      <c r="E29" s="4" t="s">
        <v>28</v>
      </c>
      <c r="F29" s="4">
        <v>3</v>
      </c>
      <c r="G29" s="4">
        <v>2</v>
      </c>
      <c r="H29" s="4"/>
      <c r="I29" s="4">
        <v>2</v>
      </c>
      <c r="J29" s="4"/>
      <c r="K29" s="4"/>
      <c r="L29" s="4"/>
      <c r="M29" s="4"/>
      <c r="N29" s="46"/>
      <c r="O29" s="46"/>
    </row>
    <row r="30" spans="1:15" x14ac:dyDescent="0.15">
      <c r="A30" s="43"/>
      <c r="B30" s="43"/>
      <c r="C30" s="4" t="s">
        <v>54</v>
      </c>
      <c r="D30" s="4" t="s">
        <v>21</v>
      </c>
      <c r="E30" s="4" t="s">
        <v>58</v>
      </c>
      <c r="F30" s="4">
        <v>2</v>
      </c>
      <c r="G30" s="4">
        <v>1</v>
      </c>
      <c r="H30" s="4"/>
      <c r="I30" s="4"/>
      <c r="J30" s="4">
        <v>1</v>
      </c>
      <c r="K30" s="4"/>
      <c r="L30" s="4"/>
      <c r="M30" s="4"/>
      <c r="N30" s="46"/>
      <c r="O30" s="46"/>
    </row>
    <row r="31" spans="1:15" x14ac:dyDescent="0.15">
      <c r="A31" s="43"/>
      <c r="B31" s="43"/>
      <c r="C31" s="4" t="s">
        <v>56</v>
      </c>
      <c r="D31" s="4" t="s">
        <v>21</v>
      </c>
      <c r="E31" s="4" t="s">
        <v>58</v>
      </c>
      <c r="F31" s="4">
        <v>2</v>
      </c>
      <c r="G31" s="4">
        <v>1</v>
      </c>
      <c r="H31" s="4"/>
      <c r="I31" s="4"/>
      <c r="J31" s="4"/>
      <c r="K31" s="4">
        <v>1</v>
      </c>
      <c r="L31" s="4"/>
      <c r="M31" s="4"/>
      <c r="N31" s="46"/>
      <c r="O31" s="46"/>
    </row>
    <row r="32" spans="1:15" x14ac:dyDescent="0.15">
      <c r="A32" s="43"/>
      <c r="B32" s="43"/>
      <c r="C32" s="4" t="s">
        <v>57</v>
      </c>
      <c r="D32" s="4" t="s">
        <v>21</v>
      </c>
      <c r="E32" s="4" t="s">
        <v>55</v>
      </c>
      <c r="F32" s="4">
        <v>3</v>
      </c>
      <c r="G32" s="4">
        <v>2</v>
      </c>
      <c r="H32" s="4"/>
      <c r="I32" s="4"/>
      <c r="J32" s="4"/>
      <c r="K32" s="4"/>
      <c r="L32" s="4">
        <v>2</v>
      </c>
      <c r="M32" s="4"/>
      <c r="N32" s="46"/>
      <c r="O32" s="46"/>
    </row>
    <row r="33" spans="1:15" x14ac:dyDescent="0.15">
      <c r="A33" s="43"/>
      <c r="B33" s="43"/>
      <c r="C33" s="6" t="s">
        <v>59</v>
      </c>
      <c r="D33" s="6" t="s">
        <v>21</v>
      </c>
      <c r="E33" s="6" t="s">
        <v>55</v>
      </c>
      <c r="F33" s="4">
        <v>3</v>
      </c>
      <c r="G33" s="4">
        <v>2</v>
      </c>
      <c r="H33" s="4"/>
      <c r="I33" s="4"/>
      <c r="J33" s="4"/>
      <c r="K33" s="4"/>
      <c r="L33" s="4"/>
      <c r="M33" s="4">
        <v>2</v>
      </c>
      <c r="N33" s="47"/>
      <c r="O33" s="47"/>
    </row>
    <row r="34" spans="1:15" x14ac:dyDescent="0.15">
      <c r="A34" s="44"/>
      <c r="B34" s="61" t="s">
        <v>60</v>
      </c>
      <c r="C34" s="7" t="s">
        <v>61</v>
      </c>
      <c r="D34" s="7" t="s">
        <v>21</v>
      </c>
      <c r="E34" s="7" t="s">
        <v>26</v>
      </c>
      <c r="F34" s="8">
        <v>3</v>
      </c>
      <c r="G34" s="4">
        <v>2</v>
      </c>
      <c r="H34" s="4">
        <v>2</v>
      </c>
      <c r="I34" s="4"/>
      <c r="J34" s="4"/>
      <c r="K34" s="4"/>
      <c r="L34" s="4"/>
      <c r="M34" s="4"/>
      <c r="N34" s="45">
        <f>SUM(H34:M37)</f>
        <v>8</v>
      </c>
      <c r="O34" s="45">
        <v>10</v>
      </c>
    </row>
    <row r="35" spans="1:15" x14ac:dyDescent="0.15">
      <c r="A35" s="44"/>
      <c r="B35" s="61"/>
      <c r="C35" s="7" t="s">
        <v>62</v>
      </c>
      <c r="D35" s="7" t="s">
        <v>21</v>
      </c>
      <c r="E35" s="7" t="s">
        <v>58</v>
      </c>
      <c r="F35" s="8">
        <v>3</v>
      </c>
      <c r="G35" s="4">
        <v>2</v>
      </c>
      <c r="H35" s="4"/>
      <c r="I35" s="4">
        <v>2</v>
      </c>
      <c r="J35" s="4"/>
      <c r="K35" s="4"/>
      <c r="L35" s="4"/>
      <c r="M35" s="4"/>
      <c r="N35" s="46"/>
      <c r="O35" s="46"/>
    </row>
    <row r="36" spans="1:15" x14ac:dyDescent="0.15">
      <c r="A36" s="44"/>
      <c r="B36" s="61"/>
      <c r="C36" s="7" t="s">
        <v>63</v>
      </c>
      <c r="D36" s="7" t="s">
        <v>21</v>
      </c>
      <c r="E36" s="7" t="s">
        <v>28</v>
      </c>
      <c r="F36" s="8">
        <v>3</v>
      </c>
      <c r="G36" s="4">
        <v>2</v>
      </c>
      <c r="H36" s="4"/>
      <c r="I36" s="4"/>
      <c r="J36" s="4">
        <v>2</v>
      </c>
      <c r="K36" s="4"/>
      <c r="L36" s="4"/>
      <c r="M36" s="4"/>
      <c r="N36" s="46"/>
      <c r="O36" s="46"/>
    </row>
    <row r="37" spans="1:15" x14ac:dyDescent="0.15">
      <c r="A37" s="44"/>
      <c r="B37" s="61"/>
      <c r="C37" s="7" t="s">
        <v>64</v>
      </c>
      <c r="D37" s="7" t="s">
        <v>21</v>
      </c>
      <c r="E37" s="7" t="s">
        <v>58</v>
      </c>
      <c r="F37" s="8">
        <v>3</v>
      </c>
      <c r="G37" s="4">
        <v>2</v>
      </c>
      <c r="H37" s="4"/>
      <c r="I37" s="4"/>
      <c r="J37" s="4"/>
      <c r="K37" s="4">
        <v>2</v>
      </c>
      <c r="L37" s="4"/>
      <c r="M37" s="4"/>
      <c r="N37" s="47"/>
      <c r="O37" s="47"/>
    </row>
    <row r="38" spans="1:15" x14ac:dyDescent="0.15">
      <c r="A38" s="44"/>
      <c r="B38" s="61" t="s">
        <v>65</v>
      </c>
      <c r="C38" s="9" t="s">
        <v>66</v>
      </c>
      <c r="D38" s="10" t="s">
        <v>21</v>
      </c>
      <c r="E38" s="10" t="s">
        <v>28</v>
      </c>
      <c r="F38" s="11">
        <v>3</v>
      </c>
      <c r="G38" s="12">
        <v>2</v>
      </c>
      <c r="H38" s="4">
        <v>2</v>
      </c>
      <c r="I38" s="13" t="s">
        <v>67</v>
      </c>
      <c r="J38" s="4"/>
      <c r="K38" s="4"/>
      <c r="L38" s="4"/>
      <c r="M38" s="14"/>
      <c r="N38" s="42">
        <f>H38+I39+M40+M41</f>
        <v>9</v>
      </c>
      <c r="O38" s="42">
        <v>16</v>
      </c>
    </row>
    <row r="39" spans="1:15" x14ac:dyDescent="0.15">
      <c r="A39" s="44"/>
      <c r="B39" s="61"/>
      <c r="C39" s="79" t="s">
        <v>106</v>
      </c>
      <c r="D39" s="41" t="s">
        <v>21</v>
      </c>
      <c r="E39" s="41" t="s">
        <v>55</v>
      </c>
      <c r="F39" s="11">
        <v>3</v>
      </c>
      <c r="G39" s="12">
        <v>2</v>
      </c>
      <c r="H39" s="13" t="s">
        <v>67</v>
      </c>
      <c r="I39" s="4">
        <v>2</v>
      </c>
      <c r="J39" s="4"/>
      <c r="K39" s="4"/>
      <c r="L39" s="4"/>
      <c r="M39" s="14"/>
      <c r="N39" s="43"/>
      <c r="O39" s="43"/>
    </row>
    <row r="40" spans="1:15" x14ac:dyDescent="0.15">
      <c r="A40" s="15"/>
      <c r="B40" s="61"/>
      <c r="C40" s="9" t="s">
        <v>68</v>
      </c>
      <c r="D40" s="9" t="s">
        <v>21</v>
      </c>
      <c r="E40" s="9" t="s">
        <v>58</v>
      </c>
      <c r="F40" s="35">
        <v>3</v>
      </c>
      <c r="G40" s="22">
        <v>2</v>
      </c>
      <c r="H40" s="36"/>
      <c r="I40" s="22"/>
      <c r="J40" s="22"/>
      <c r="K40" s="22"/>
      <c r="L40" s="22"/>
      <c r="M40" s="22">
        <v>2</v>
      </c>
      <c r="N40" s="43"/>
      <c r="O40" s="43"/>
    </row>
    <row r="41" spans="1:15" x14ac:dyDescent="0.15">
      <c r="A41" s="15"/>
      <c r="B41" s="61"/>
      <c r="C41" s="9" t="s">
        <v>69</v>
      </c>
      <c r="D41" s="9" t="s">
        <v>21</v>
      </c>
      <c r="E41" s="9" t="s">
        <v>55</v>
      </c>
      <c r="F41" s="35">
        <v>3</v>
      </c>
      <c r="G41" s="22">
        <v>3</v>
      </c>
      <c r="H41" s="36"/>
      <c r="I41" s="22"/>
      <c r="J41" s="22"/>
      <c r="K41" s="22"/>
      <c r="L41" s="22"/>
      <c r="M41" s="22">
        <v>3</v>
      </c>
      <c r="N41" s="48"/>
      <c r="O41" s="48"/>
    </row>
    <row r="42" spans="1:15" x14ac:dyDescent="0.15">
      <c r="A42" s="16"/>
      <c r="B42" s="62"/>
      <c r="C42" s="62"/>
      <c r="D42" s="62"/>
      <c r="E42" s="62"/>
      <c r="F42" s="17"/>
      <c r="G42" s="18"/>
      <c r="H42" s="4">
        <f>SUM(H5:H38)</f>
        <v>30</v>
      </c>
      <c r="I42" s="4">
        <f>SUM(I5:I37)+I39</f>
        <v>30</v>
      </c>
      <c r="J42" s="4">
        <f>SUM(J5:J39)</f>
        <v>15</v>
      </c>
      <c r="K42" s="4">
        <f>SUM(K5:K39)</f>
        <v>15</v>
      </c>
      <c r="L42" s="4">
        <f>SUM(L5:L39)</f>
        <v>14</v>
      </c>
      <c r="M42" s="4">
        <f>SUM(M5:M41)</f>
        <v>7</v>
      </c>
      <c r="N42" s="4">
        <f>SUM(N5:N39)</f>
        <v>111</v>
      </c>
      <c r="O42" s="4">
        <f>SUM(O5:O39)</f>
        <v>84</v>
      </c>
    </row>
    <row r="43" spans="1:15" ht="27" x14ac:dyDescent="0.15">
      <c r="A43" s="42" t="s">
        <v>70</v>
      </c>
      <c r="B43" s="63" t="s">
        <v>71</v>
      </c>
      <c r="C43" s="19" t="s">
        <v>103</v>
      </c>
      <c r="D43" s="20" t="s">
        <v>72</v>
      </c>
      <c r="E43" s="20" t="s">
        <v>73</v>
      </c>
      <c r="F43" s="4">
        <v>4</v>
      </c>
      <c r="G43" s="4">
        <v>3</v>
      </c>
      <c r="H43" s="4"/>
      <c r="I43" s="4"/>
      <c r="J43" s="4">
        <v>3</v>
      </c>
      <c r="K43" s="4"/>
      <c r="L43" s="4"/>
      <c r="M43" s="4"/>
      <c r="N43" s="4">
        <v>3</v>
      </c>
      <c r="O43" s="64"/>
    </row>
    <row r="44" spans="1:15" ht="27" x14ac:dyDescent="0.15">
      <c r="A44" s="43"/>
      <c r="B44" s="63"/>
      <c r="C44" s="8" t="s">
        <v>104</v>
      </c>
      <c r="D44" s="4" t="s">
        <v>74</v>
      </c>
      <c r="E44" s="4" t="s">
        <v>73</v>
      </c>
      <c r="F44" s="4">
        <v>4</v>
      </c>
      <c r="G44" s="4">
        <v>3</v>
      </c>
      <c r="H44" s="4"/>
      <c r="I44" s="4"/>
      <c r="J44" s="4"/>
      <c r="K44" s="4">
        <v>3</v>
      </c>
      <c r="L44" s="4"/>
      <c r="M44" s="4"/>
      <c r="N44" s="4">
        <v>3</v>
      </c>
      <c r="O44" s="65"/>
    </row>
    <row r="45" spans="1:15" x14ac:dyDescent="0.15">
      <c r="A45" s="43"/>
      <c r="B45" s="63"/>
      <c r="C45" s="8" t="s">
        <v>75</v>
      </c>
      <c r="D45" s="4" t="s">
        <v>74</v>
      </c>
      <c r="E45" s="4" t="s">
        <v>58</v>
      </c>
      <c r="F45" s="4">
        <v>4</v>
      </c>
      <c r="G45" s="4">
        <v>3</v>
      </c>
      <c r="H45" s="4"/>
      <c r="I45" s="4"/>
      <c r="J45" s="4"/>
      <c r="K45" s="4"/>
      <c r="L45" s="4">
        <v>3</v>
      </c>
      <c r="M45" s="4"/>
      <c r="N45" s="4">
        <v>3</v>
      </c>
      <c r="O45" s="65"/>
    </row>
    <row r="46" spans="1:15" ht="27" x14ac:dyDescent="0.15">
      <c r="A46" s="43"/>
      <c r="B46" s="63"/>
      <c r="C46" s="37" t="s">
        <v>76</v>
      </c>
      <c r="D46" s="38" t="s">
        <v>74</v>
      </c>
      <c r="E46" s="38" t="s">
        <v>73</v>
      </c>
      <c r="F46" s="22">
        <v>4</v>
      </c>
      <c r="G46" s="22">
        <v>4</v>
      </c>
      <c r="H46" s="22"/>
      <c r="I46" s="22"/>
      <c r="J46" s="22"/>
      <c r="K46" s="22"/>
      <c r="L46" s="22"/>
      <c r="M46" s="22">
        <v>4</v>
      </c>
      <c r="N46" s="22">
        <v>4</v>
      </c>
      <c r="O46" s="65"/>
    </row>
    <row r="47" spans="1:15" ht="27" x14ac:dyDescent="0.15">
      <c r="A47" s="43"/>
      <c r="B47" s="63"/>
      <c r="C47" s="37" t="s">
        <v>99</v>
      </c>
      <c r="D47" s="38" t="s">
        <v>74</v>
      </c>
      <c r="E47" s="38" t="s">
        <v>73</v>
      </c>
      <c r="F47" s="39">
        <v>4</v>
      </c>
      <c r="G47" s="22">
        <v>4</v>
      </c>
      <c r="H47" s="22"/>
      <c r="I47" s="22"/>
      <c r="J47" s="22"/>
      <c r="K47" s="22"/>
      <c r="L47" s="22"/>
      <c r="M47" s="22">
        <v>4</v>
      </c>
      <c r="N47" s="22">
        <v>4</v>
      </c>
      <c r="O47" s="65"/>
    </row>
    <row r="48" spans="1:15" x14ac:dyDescent="0.15">
      <c r="A48" s="44"/>
      <c r="B48" s="61" t="s">
        <v>78</v>
      </c>
      <c r="C48" s="68" t="s">
        <v>79</v>
      </c>
      <c r="D48" s="68" t="s">
        <v>80</v>
      </c>
      <c r="E48" s="68" t="s">
        <v>81</v>
      </c>
      <c r="F48" s="35">
        <v>4</v>
      </c>
      <c r="G48" s="22">
        <v>3</v>
      </c>
      <c r="H48" s="22"/>
      <c r="I48" s="22"/>
      <c r="J48" s="22">
        <v>3</v>
      </c>
      <c r="K48" s="22"/>
      <c r="L48" s="22"/>
      <c r="M48" s="22"/>
      <c r="N48" s="22">
        <v>3</v>
      </c>
      <c r="O48" s="65"/>
    </row>
    <row r="49" spans="1:19" x14ac:dyDescent="0.15">
      <c r="A49" s="44"/>
      <c r="B49" s="61"/>
      <c r="C49" s="68"/>
      <c r="D49" s="68"/>
      <c r="E49" s="68"/>
      <c r="F49" s="35">
        <v>4</v>
      </c>
      <c r="G49" s="22">
        <v>3</v>
      </c>
      <c r="H49" s="22"/>
      <c r="I49" s="22"/>
      <c r="J49" s="22">
        <v>3</v>
      </c>
      <c r="K49" s="22"/>
      <c r="L49" s="22"/>
      <c r="M49" s="22"/>
      <c r="N49" s="22">
        <v>3</v>
      </c>
      <c r="O49" s="65"/>
    </row>
    <row r="50" spans="1:19" x14ac:dyDescent="0.15">
      <c r="A50" s="44"/>
      <c r="B50" s="61"/>
      <c r="C50" s="68"/>
      <c r="D50" s="68"/>
      <c r="E50" s="68"/>
      <c r="F50" s="35">
        <v>4</v>
      </c>
      <c r="G50" s="22">
        <v>3</v>
      </c>
      <c r="H50" s="22"/>
      <c r="I50" s="22"/>
      <c r="J50" s="22">
        <v>3</v>
      </c>
      <c r="K50" s="22"/>
      <c r="L50" s="22"/>
      <c r="M50" s="22"/>
      <c r="N50" s="22">
        <v>3</v>
      </c>
      <c r="O50" s="65"/>
    </row>
    <row r="51" spans="1:19" x14ac:dyDescent="0.15">
      <c r="A51" s="44"/>
      <c r="B51" s="61"/>
      <c r="C51" s="69" t="s">
        <v>82</v>
      </c>
      <c r="D51" s="70" t="s">
        <v>83</v>
      </c>
      <c r="E51" s="70" t="s">
        <v>81</v>
      </c>
      <c r="F51" s="23">
        <v>4</v>
      </c>
      <c r="G51" s="14">
        <v>4</v>
      </c>
      <c r="H51" s="4"/>
      <c r="I51" s="4"/>
      <c r="J51" s="4"/>
      <c r="K51" s="4">
        <v>4</v>
      </c>
      <c r="L51" s="4"/>
      <c r="M51" s="14"/>
      <c r="N51" s="14">
        <v>4</v>
      </c>
      <c r="O51" s="65"/>
    </row>
    <row r="52" spans="1:19" x14ac:dyDescent="0.15">
      <c r="A52" s="44"/>
      <c r="B52" s="61"/>
      <c r="C52" s="69"/>
      <c r="D52" s="70"/>
      <c r="E52" s="70"/>
      <c r="F52" s="23">
        <v>4</v>
      </c>
      <c r="G52" s="14">
        <v>4</v>
      </c>
      <c r="H52" s="4"/>
      <c r="I52" s="4"/>
      <c r="J52" s="4"/>
      <c r="K52" s="4">
        <v>4</v>
      </c>
      <c r="L52" s="4"/>
      <c r="M52" s="14"/>
      <c r="N52" s="14">
        <v>4</v>
      </c>
      <c r="O52" s="65"/>
    </row>
    <row r="53" spans="1:19" x14ac:dyDescent="0.15">
      <c r="A53" s="44"/>
      <c r="B53" s="61"/>
      <c r="C53" s="70" t="s">
        <v>84</v>
      </c>
      <c r="D53" s="70" t="s">
        <v>83</v>
      </c>
      <c r="E53" s="71" t="s">
        <v>73</v>
      </c>
      <c r="F53" s="23">
        <v>4</v>
      </c>
      <c r="G53" s="14">
        <v>3</v>
      </c>
      <c r="H53" s="4"/>
      <c r="I53" s="4"/>
      <c r="J53" s="4"/>
      <c r="K53" s="4"/>
      <c r="L53" s="4">
        <v>3</v>
      </c>
      <c r="M53" s="14"/>
      <c r="N53" s="14">
        <v>3</v>
      </c>
      <c r="O53" s="65"/>
    </row>
    <row r="54" spans="1:19" ht="20.25" customHeight="1" x14ac:dyDescent="0.15">
      <c r="A54" s="44"/>
      <c r="B54" s="61"/>
      <c r="C54" s="70"/>
      <c r="D54" s="70"/>
      <c r="E54" s="72"/>
      <c r="F54" s="24">
        <v>4</v>
      </c>
      <c r="G54" s="25">
        <v>3</v>
      </c>
      <c r="H54" s="4"/>
      <c r="I54" s="4"/>
      <c r="J54" s="4"/>
      <c r="K54" s="4"/>
      <c r="L54" s="4">
        <v>3</v>
      </c>
      <c r="M54" s="14"/>
      <c r="N54" s="14">
        <v>3</v>
      </c>
      <c r="O54" s="65"/>
    </row>
    <row r="55" spans="1:19" x14ac:dyDescent="0.15">
      <c r="A55" s="44"/>
      <c r="B55" s="61"/>
      <c r="C55" s="71" t="s">
        <v>100</v>
      </c>
      <c r="D55" s="71" t="s">
        <v>85</v>
      </c>
      <c r="E55" s="71" t="s">
        <v>73</v>
      </c>
      <c r="F55" s="26">
        <v>4</v>
      </c>
      <c r="G55" s="26">
        <v>4</v>
      </c>
      <c r="H55" s="21"/>
      <c r="I55" s="6"/>
      <c r="J55" s="6"/>
      <c r="K55" s="6"/>
      <c r="L55" s="6"/>
      <c r="M55" s="25">
        <v>4</v>
      </c>
      <c r="N55" s="25">
        <v>4</v>
      </c>
      <c r="O55" s="65"/>
    </row>
    <row r="56" spans="1:19" ht="32.25" customHeight="1" x14ac:dyDescent="0.15">
      <c r="A56" s="44"/>
      <c r="B56" s="61"/>
      <c r="C56" s="73"/>
      <c r="D56" s="73"/>
      <c r="E56" s="72"/>
      <c r="F56" s="27">
        <v>4</v>
      </c>
      <c r="G56" s="27">
        <v>4</v>
      </c>
      <c r="H56" s="21"/>
      <c r="I56" s="6"/>
      <c r="J56" s="6"/>
      <c r="K56" s="6"/>
      <c r="L56" s="6"/>
      <c r="M56" s="25">
        <v>4</v>
      </c>
      <c r="N56" s="25">
        <v>4</v>
      </c>
      <c r="O56" s="65"/>
    </row>
    <row r="57" spans="1:19" x14ac:dyDescent="0.15">
      <c r="A57" s="44"/>
      <c r="B57" s="61" t="s">
        <v>86</v>
      </c>
      <c r="C57" s="9" t="s">
        <v>87</v>
      </c>
      <c r="D57" s="9" t="s">
        <v>74</v>
      </c>
      <c r="E57" s="9" t="s">
        <v>28</v>
      </c>
      <c r="F57" s="9">
        <v>4</v>
      </c>
      <c r="G57" s="9">
        <v>3</v>
      </c>
      <c r="H57" s="9"/>
      <c r="I57" s="9"/>
      <c r="J57" s="9">
        <v>3</v>
      </c>
      <c r="K57" s="9"/>
      <c r="L57" s="9"/>
      <c r="M57" s="9"/>
      <c r="N57" s="9">
        <v>3</v>
      </c>
      <c r="O57" s="66"/>
    </row>
    <row r="58" spans="1:19" x14ac:dyDescent="0.15">
      <c r="A58" s="44"/>
      <c r="B58" s="61"/>
      <c r="C58" s="9" t="s">
        <v>88</v>
      </c>
      <c r="D58" s="9" t="s">
        <v>74</v>
      </c>
      <c r="E58" s="9" t="s">
        <v>55</v>
      </c>
      <c r="F58" s="9">
        <v>4</v>
      </c>
      <c r="G58" s="9">
        <v>4</v>
      </c>
      <c r="H58" s="9"/>
      <c r="I58" s="9"/>
      <c r="J58" s="9"/>
      <c r="K58" s="9">
        <v>4</v>
      </c>
      <c r="L58" s="9"/>
      <c r="M58" s="9"/>
      <c r="N58" s="9">
        <v>4</v>
      </c>
      <c r="O58" s="66"/>
    </row>
    <row r="59" spans="1:19" ht="54" x14ac:dyDescent="0.15">
      <c r="A59" s="44"/>
      <c r="B59" s="28" t="s">
        <v>98</v>
      </c>
      <c r="C59" s="9" t="s">
        <v>101</v>
      </c>
      <c r="D59" s="9" t="s">
        <v>74</v>
      </c>
      <c r="E59" s="9" t="s">
        <v>97</v>
      </c>
      <c r="F59" s="40" t="s">
        <v>77</v>
      </c>
      <c r="G59" s="9">
        <v>3</v>
      </c>
      <c r="H59" s="9"/>
      <c r="I59" s="9"/>
      <c r="J59" s="9"/>
      <c r="K59" s="9"/>
      <c r="L59" s="9">
        <v>3</v>
      </c>
      <c r="M59" s="9"/>
      <c r="N59" s="9">
        <v>3</v>
      </c>
      <c r="O59" s="66"/>
    </row>
    <row r="60" spans="1:19" ht="13.5" customHeight="1" x14ac:dyDescent="0.15">
      <c r="A60" s="44"/>
      <c r="B60" s="61" t="s">
        <v>89</v>
      </c>
      <c r="C60" s="26" t="s">
        <v>90</v>
      </c>
      <c r="D60" s="26" t="s">
        <v>74</v>
      </c>
      <c r="E60" s="26" t="s">
        <v>58</v>
      </c>
      <c r="F60" s="26">
        <v>3</v>
      </c>
      <c r="G60" s="26">
        <v>2</v>
      </c>
      <c r="H60" s="7"/>
      <c r="I60" s="7"/>
      <c r="J60" s="7"/>
      <c r="K60" s="7"/>
      <c r="L60" s="7">
        <v>2</v>
      </c>
      <c r="M60" s="26"/>
      <c r="N60" s="26">
        <v>2</v>
      </c>
      <c r="O60" s="66"/>
    </row>
    <row r="61" spans="1:19" x14ac:dyDescent="0.15">
      <c r="A61" s="44"/>
      <c r="B61" s="61"/>
      <c r="C61" s="26" t="s">
        <v>91</v>
      </c>
      <c r="D61" s="26" t="s">
        <v>74</v>
      </c>
      <c r="E61" s="26" t="s">
        <v>55</v>
      </c>
      <c r="F61" s="26">
        <v>3</v>
      </c>
      <c r="G61" s="26">
        <v>3</v>
      </c>
      <c r="H61" s="7"/>
      <c r="I61" s="7"/>
      <c r="J61" s="7"/>
      <c r="K61" s="7"/>
      <c r="L61" s="7"/>
      <c r="M61" s="26">
        <v>3</v>
      </c>
      <c r="N61" s="26">
        <v>3</v>
      </c>
      <c r="O61" s="66"/>
    </row>
    <row r="62" spans="1:19" ht="19.899999999999999" customHeight="1" x14ac:dyDescent="0.15">
      <c r="A62" s="74" t="s">
        <v>92</v>
      </c>
      <c r="B62" s="77"/>
      <c r="C62" s="77"/>
      <c r="D62" s="77"/>
      <c r="E62" s="77"/>
      <c r="F62" s="77"/>
      <c r="G62" s="78"/>
      <c r="H62" s="29">
        <f t="shared" ref="H62:N62" si="0">SUM(H43:H61)</f>
        <v>0</v>
      </c>
      <c r="I62" s="29">
        <f t="shared" si="0"/>
        <v>0</v>
      </c>
      <c r="J62" s="29">
        <f t="shared" si="0"/>
        <v>15</v>
      </c>
      <c r="K62" s="29">
        <f t="shared" si="0"/>
        <v>15</v>
      </c>
      <c r="L62" s="29">
        <f t="shared" si="0"/>
        <v>14</v>
      </c>
      <c r="M62" s="29">
        <f t="shared" si="0"/>
        <v>19</v>
      </c>
      <c r="N62" s="29">
        <f t="shared" si="0"/>
        <v>63</v>
      </c>
      <c r="O62" s="65"/>
    </row>
    <row r="63" spans="1:19" ht="20.25" customHeight="1" x14ac:dyDescent="0.15">
      <c r="A63" s="74" t="s">
        <v>93</v>
      </c>
      <c r="B63" s="75"/>
      <c r="C63" s="75"/>
      <c r="D63" s="75"/>
      <c r="E63" s="75"/>
      <c r="F63" s="75"/>
      <c r="G63" s="76"/>
      <c r="H63" s="12">
        <f t="shared" ref="H63:M63" si="1">H42+H62</f>
        <v>30</v>
      </c>
      <c r="I63" s="12">
        <f t="shared" si="1"/>
        <v>30</v>
      </c>
      <c r="J63" s="12">
        <f t="shared" si="1"/>
        <v>30</v>
      </c>
      <c r="K63" s="12">
        <f t="shared" si="1"/>
        <v>30</v>
      </c>
      <c r="L63" s="12">
        <f t="shared" si="1"/>
        <v>28</v>
      </c>
      <c r="M63" s="12">
        <f t="shared" si="1"/>
        <v>26</v>
      </c>
      <c r="N63" s="12">
        <f>SUM(H63:M63)</f>
        <v>174</v>
      </c>
      <c r="O63" s="67"/>
      <c r="S63" s="30"/>
    </row>
    <row r="64" spans="1:19" ht="20.25" customHeight="1" x14ac:dyDescent="0.15">
      <c r="A64" s="74" t="s">
        <v>94</v>
      </c>
      <c r="B64" s="75"/>
      <c r="C64" s="75"/>
      <c r="D64" s="75"/>
      <c r="E64" s="75"/>
      <c r="F64" s="75"/>
      <c r="G64" s="76"/>
      <c r="H64" s="12">
        <v>3</v>
      </c>
      <c r="I64" s="12">
        <v>3</v>
      </c>
      <c r="J64" s="12">
        <v>3</v>
      </c>
      <c r="K64" s="12">
        <v>3</v>
      </c>
      <c r="L64" s="12">
        <v>3</v>
      </c>
      <c r="M64" s="12">
        <v>3</v>
      </c>
      <c r="N64" s="12">
        <f t="shared" ref="N64" si="2">SUM(H64:M64)</f>
        <v>18</v>
      </c>
      <c r="O64" s="31"/>
      <c r="S64" s="30"/>
    </row>
    <row r="65" spans="1:15" ht="20.25" customHeight="1" x14ac:dyDescent="0.15">
      <c r="A65" s="74" t="s">
        <v>95</v>
      </c>
      <c r="B65" s="75"/>
      <c r="C65" s="75"/>
      <c r="D65" s="75"/>
      <c r="E65" s="75"/>
      <c r="F65" s="75"/>
      <c r="G65" s="76"/>
      <c r="H65" s="12">
        <f>H63+H64</f>
        <v>33</v>
      </c>
      <c r="I65" s="12">
        <f t="shared" ref="I65:M65" si="3">I63+I64</f>
        <v>33</v>
      </c>
      <c r="J65" s="12">
        <f t="shared" si="3"/>
        <v>33</v>
      </c>
      <c r="K65" s="12">
        <f>K63+K64</f>
        <v>33</v>
      </c>
      <c r="L65" s="12">
        <f>L63+L64</f>
        <v>31</v>
      </c>
      <c r="M65" s="12">
        <f t="shared" si="3"/>
        <v>29</v>
      </c>
      <c r="N65" s="12">
        <f>SUM(H65:M65)</f>
        <v>192</v>
      </c>
      <c r="O65" s="31"/>
    </row>
    <row r="66" spans="1:15" ht="20.25" customHeight="1" x14ac:dyDescent="0.15">
      <c r="A66" s="74" t="s">
        <v>96</v>
      </c>
      <c r="B66" s="75"/>
      <c r="C66" s="75"/>
      <c r="D66" s="75"/>
      <c r="E66" s="75"/>
      <c r="F66" s="75"/>
      <c r="G66" s="76"/>
      <c r="H66" s="74">
        <f>H65+I65</f>
        <v>66</v>
      </c>
      <c r="I66" s="76"/>
      <c r="J66" s="74">
        <f>J65+K65</f>
        <v>66</v>
      </c>
      <c r="K66" s="76"/>
      <c r="L66" s="74">
        <f>L65+M65</f>
        <v>60</v>
      </c>
      <c r="M66" s="76"/>
      <c r="N66" s="12">
        <f>H66+J66+L66</f>
        <v>192</v>
      </c>
      <c r="O66" s="31"/>
    </row>
    <row r="67" spans="1:15" ht="20.25" customHeight="1" x14ac:dyDescent="0.15">
      <c r="A67" s="32"/>
      <c r="B67" s="32"/>
      <c r="C67" s="32"/>
      <c r="D67" s="32"/>
      <c r="E67" s="32"/>
      <c r="F67" s="32"/>
      <c r="G67" s="32"/>
      <c r="H67" s="33"/>
      <c r="I67" s="33"/>
      <c r="J67" s="33"/>
      <c r="K67" s="33"/>
      <c r="L67" s="33"/>
      <c r="M67" s="33"/>
      <c r="N67" s="33"/>
      <c r="O67" s="34"/>
    </row>
  </sheetData>
  <mergeCells count="64">
    <mergeCell ref="E55:E56"/>
    <mergeCell ref="A66:G66"/>
    <mergeCell ref="H66:I66"/>
    <mergeCell ref="J66:K66"/>
    <mergeCell ref="L66:M66"/>
    <mergeCell ref="B57:B58"/>
    <mergeCell ref="B60:B61"/>
    <mergeCell ref="A62:G62"/>
    <mergeCell ref="A63:G63"/>
    <mergeCell ref="A64:G64"/>
    <mergeCell ref="A65:G65"/>
    <mergeCell ref="B42:E42"/>
    <mergeCell ref="A43:A61"/>
    <mergeCell ref="B43:B47"/>
    <mergeCell ref="O43:O63"/>
    <mergeCell ref="B48:B56"/>
    <mergeCell ref="C48:C50"/>
    <mergeCell ref="D48:D50"/>
    <mergeCell ref="E48:E50"/>
    <mergeCell ref="C51:C52"/>
    <mergeCell ref="D51:D52"/>
    <mergeCell ref="E51:E52"/>
    <mergeCell ref="C53:C54"/>
    <mergeCell ref="D53:D54"/>
    <mergeCell ref="E53:E54"/>
    <mergeCell ref="C55:C56"/>
    <mergeCell ref="D55:D56"/>
    <mergeCell ref="B34:B37"/>
    <mergeCell ref="N34:N37"/>
    <mergeCell ref="O34:O37"/>
    <mergeCell ref="B38:B41"/>
    <mergeCell ref="N38:N41"/>
    <mergeCell ref="O38:O41"/>
    <mergeCell ref="O24:O27"/>
    <mergeCell ref="B20:B23"/>
    <mergeCell ref="B28:B33"/>
    <mergeCell ref="N28:N33"/>
    <mergeCell ref="O28:O33"/>
    <mergeCell ref="A1:O1"/>
    <mergeCell ref="A2:K2"/>
    <mergeCell ref="L2:O2"/>
    <mergeCell ref="B3:B4"/>
    <mergeCell ref="C3:C4"/>
    <mergeCell ref="D3:D4"/>
    <mergeCell ref="E3:E4"/>
    <mergeCell ref="H3:I3"/>
    <mergeCell ref="J3:K3"/>
    <mergeCell ref="L3:M3"/>
    <mergeCell ref="A5:A39"/>
    <mergeCell ref="B5:B8"/>
    <mergeCell ref="N5:N9"/>
    <mergeCell ref="O5:O9"/>
    <mergeCell ref="B10:B14"/>
    <mergeCell ref="N10:N14"/>
    <mergeCell ref="O10:O14"/>
    <mergeCell ref="B15:B19"/>
    <mergeCell ref="N15:N19"/>
    <mergeCell ref="O15:O19"/>
    <mergeCell ref="N20:N21"/>
    <mergeCell ref="O20:O21"/>
    <mergeCell ref="N22:N23"/>
    <mergeCell ref="O22:O23"/>
    <mergeCell ref="B24:B27"/>
    <mergeCell ref="N24:N27"/>
  </mergeCells>
  <phoneticPr fontId="3" type="noConversion"/>
  <pageMargins left="0.25" right="0.25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2025-08-21T01:25:52Z</cp:lastPrinted>
  <dcterms:created xsi:type="dcterms:W3CDTF">2025-07-07T05:10:29Z</dcterms:created>
  <dcterms:modified xsi:type="dcterms:W3CDTF">2026-02-26T06:12:24Z</dcterms:modified>
</cp:coreProperties>
</file>