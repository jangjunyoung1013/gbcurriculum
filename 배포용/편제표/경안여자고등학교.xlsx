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25.11.29\교육과정\2025 본교 교육과정 (전학년, 입학생기준 등)\2026 본교 교육과정\업로드용\"/>
    </mc:Choice>
  </mc:AlternateContent>
  <xr:revisionPtr revIDLastSave="0" documentId="13_ncr:1_{EC791364-F2D8-48FA-AC2D-666EB856754F}" xr6:coauthVersionLast="36" xr6:coauthVersionMax="36" xr10:uidLastSave="{00000000-0000-0000-0000-000000000000}"/>
  <bookViews>
    <workbookView xWindow="-28920" yWindow="-120" windowWidth="29040" windowHeight="15720" xr2:uid="{00000000-000D-0000-FFFF-FFFF00000000}"/>
  </bookViews>
  <sheets>
    <sheet name="양식(일반고,자율고)" sheetId="1" r:id="rId1"/>
  </sheets>
  <definedNames>
    <definedName name="_xlnm.Print_Area" localSheetId="0">'양식(일반고,자율고)'!$A$1:$O$68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4" i="1" l="1"/>
  <c r="N62" i="1" l="1"/>
  <c r="M61" i="1"/>
  <c r="M63" i="1" s="1"/>
  <c r="L61" i="1"/>
  <c r="L63" i="1" s="1"/>
  <c r="K61" i="1"/>
  <c r="K63" i="1" s="1"/>
  <c r="J61" i="1"/>
  <c r="J63" i="1" s="1"/>
  <c r="I61" i="1"/>
  <c r="I63" i="1" s="1"/>
  <c r="H61" i="1"/>
  <c r="H63" i="1" s="1"/>
  <c r="N60" i="1"/>
  <c r="O40" i="1"/>
  <c r="M40" i="1"/>
  <c r="L40" i="1"/>
  <c r="K40" i="1"/>
  <c r="J40" i="1"/>
  <c r="I40" i="1"/>
  <c r="H40" i="1"/>
  <c r="N38" i="1"/>
  <c r="N34" i="1"/>
  <c r="N28" i="1"/>
  <c r="N24" i="1"/>
  <c r="N22" i="1"/>
  <c r="N16" i="1"/>
  <c r="N11" i="1"/>
  <c r="N6" i="1"/>
  <c r="N40" i="1" l="1"/>
  <c r="N61" i="1"/>
  <c r="N63" i="1" s="1"/>
  <c r="N65" i="1" l="1"/>
</calcChain>
</file>

<file path=xl/sharedStrings.xml><?xml version="1.0" encoding="utf-8"?>
<sst xmlns="http://schemas.openxmlformats.org/spreadsheetml/2006/main" count="197" uniqueCount="107">
  <si>
    <t>학교유형: 일반고</t>
  </si>
  <si>
    <t>경안여자고등학교</t>
  </si>
  <si>
    <t>구분</t>
  </si>
  <si>
    <t>교과(군)</t>
  </si>
  <si>
    <t>과목</t>
  </si>
  <si>
    <t>선택</t>
  </si>
  <si>
    <t>과목유형</t>
  </si>
  <si>
    <t>기본
학점</t>
  </si>
  <si>
    <t>편성
학점</t>
  </si>
  <si>
    <t>1학년</t>
  </si>
  <si>
    <t>2학년</t>
  </si>
  <si>
    <t>3학년</t>
  </si>
  <si>
    <t>이수
학점</t>
  </si>
  <si>
    <t>필수
학점</t>
  </si>
  <si>
    <t>1학기</t>
  </si>
  <si>
    <t>2학기</t>
  </si>
  <si>
    <t>학교지정</t>
  </si>
  <si>
    <t>국 어</t>
  </si>
  <si>
    <t>공통국어1</t>
  </si>
  <si>
    <t>지정</t>
  </si>
  <si>
    <t>공통</t>
  </si>
  <si>
    <t>공통국어2</t>
  </si>
  <si>
    <t>문학</t>
  </si>
  <si>
    <t>일반</t>
  </si>
  <si>
    <t>독서와 작문</t>
  </si>
  <si>
    <t>수 학</t>
  </si>
  <si>
    <t>공통수학1</t>
  </si>
  <si>
    <t>공통수학2</t>
  </si>
  <si>
    <t>대수</t>
  </si>
  <si>
    <t>미적분Ⅰ</t>
  </si>
  <si>
    <t>확률과 통계</t>
  </si>
  <si>
    <t>영 어</t>
  </si>
  <si>
    <t>공통영어1</t>
  </si>
  <si>
    <t>공통영어2</t>
  </si>
  <si>
    <t>영어Ⅱ</t>
  </si>
  <si>
    <t>한국사1</t>
  </si>
  <si>
    <t>한국사2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</si>
  <si>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</si>
  <si>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</si>
  <si>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</si>
  <si>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</si>
  <si>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</si>
  <si>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</si>
  <si>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</si>
  <si>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체 육</t>
  </si>
  <si>
    <t>체육1</t>
  </si>
  <si>
    <t>체육2</t>
  </si>
  <si>
    <t>스포츠 문화</t>
  </si>
  <si>
    <t>진로</t>
  </si>
  <si>
    <t>운동과 건강</t>
  </si>
  <si>
    <t>스포츠 생활1</t>
  </si>
  <si>
    <t>스포츠 생활2</t>
  </si>
  <si>
    <t>융합</t>
  </si>
  <si>
    <t>예 술</t>
  </si>
  <si>
    <t>음악</t>
  </si>
  <si>
    <t>음악과 미디어</t>
  </si>
  <si>
    <t>미술</t>
  </si>
  <si>
    <t>미술 창작</t>
  </si>
  <si>
    <t>정보</t>
  </si>
  <si>
    <t>인공지능기초</t>
  </si>
  <si>
    <t>학생선택</t>
  </si>
  <si>
    <t>국어</t>
  </si>
  <si>
    <t>택1</t>
  </si>
  <si>
    <t>수학</t>
  </si>
  <si>
    <t>영어</t>
  </si>
  <si>
    <t>택2</t>
  </si>
  <si>
    <t>일본어 / 한문 / 중국어</t>
  </si>
  <si>
    <t>예술</t>
  </si>
  <si>
    <t>교양</t>
  </si>
  <si>
    <t>교과 이수 학점 소계</t>
  </si>
  <si>
    <t>창의적 체험활동</t>
  </si>
  <si>
    <t>택2</t>
    <phoneticPr fontId="11" type="noConversion"/>
  </si>
  <si>
    <t>제2외국어/
한문</t>
    <phoneticPr fontId="11" type="noConversion"/>
  </si>
  <si>
    <t>화법과 언어</t>
    <phoneticPr fontId="11" type="noConversion"/>
  </si>
  <si>
    <r>
      <t>영어</t>
    </r>
    <r>
      <rPr>
        <sz val="9"/>
        <rFont val="Arial"/>
        <family val="2"/>
      </rPr>
      <t>Ⅰ</t>
    </r>
  </si>
  <si>
    <t>융합</t>
    <phoneticPr fontId="11" type="noConversion"/>
  </si>
  <si>
    <t>진로</t>
    <phoneticPr fontId="11" type="noConversion"/>
  </si>
  <si>
    <t>학기별 총 이수 학점 계</t>
    <phoneticPr fontId="11" type="noConversion"/>
  </si>
  <si>
    <t>학년별 총 이수 학점</t>
    <phoneticPr fontId="11" type="noConversion"/>
  </si>
  <si>
    <t>학기당 이수 과목 수</t>
    <phoneticPr fontId="11" type="noConversion"/>
  </si>
  <si>
    <t xml:space="preserve"> </t>
    <phoneticPr fontId="11" type="noConversion"/>
  </si>
  <si>
    <r>
      <rPr>
        <b/>
        <sz val="9"/>
        <color rgb="FF0000FF"/>
        <rFont val="Malgun Gothic"/>
        <family val="3"/>
        <charset val="129"/>
      </rPr>
      <t>주제 탐구 독서</t>
    </r>
    <r>
      <rPr>
        <sz val="9"/>
        <rFont val="Malgun Gothic"/>
        <family val="3"/>
        <charset val="129"/>
      </rPr>
      <t xml:space="preserve"> / 독서 토론과 글쓰기 / 언어 생활 탐구</t>
    </r>
    <phoneticPr fontId="11" type="noConversion"/>
  </si>
  <si>
    <r>
      <rPr>
        <b/>
        <sz val="9"/>
        <color rgb="FF0000FF"/>
        <rFont val="Malgun Gothic"/>
        <family val="3"/>
        <charset val="129"/>
      </rPr>
      <t>미적분Ⅱ</t>
    </r>
    <r>
      <rPr>
        <sz val="9"/>
        <color theme="1"/>
        <rFont val="Malgun Gothic"/>
        <family val="3"/>
        <charset val="129"/>
      </rPr>
      <t xml:space="preserve"> / </t>
    </r>
    <r>
      <rPr>
        <b/>
        <sz val="9"/>
        <color rgb="FF0000FF"/>
        <rFont val="Malgun Gothic"/>
        <family val="3"/>
        <charset val="129"/>
      </rPr>
      <t>경제수학</t>
    </r>
    <r>
      <rPr>
        <sz val="9"/>
        <rFont val="Malgun Gothic"/>
        <family val="3"/>
        <charset val="129"/>
      </rPr>
      <t xml:space="preserve"> / 수학과제탐구</t>
    </r>
    <phoneticPr fontId="11" type="noConversion"/>
  </si>
  <si>
    <r>
      <rPr>
        <b/>
        <sz val="9"/>
        <color rgb="FF0000FF"/>
        <rFont val="Malgun Gothic"/>
        <family val="3"/>
        <charset val="129"/>
      </rPr>
      <t>인공지능 수학</t>
    </r>
    <r>
      <rPr>
        <sz val="9"/>
        <rFont val="Malgun Gothic"/>
        <family val="3"/>
        <charset val="129"/>
      </rPr>
      <t xml:space="preserve"> / 수학과 문화 / 실용 통계</t>
    </r>
    <phoneticPr fontId="11" type="noConversion"/>
  </si>
  <si>
    <r>
      <t xml:space="preserve">영어 독해와 작문 / </t>
    </r>
    <r>
      <rPr>
        <b/>
        <sz val="9"/>
        <color rgb="FF0000FF"/>
        <rFont val="Malgun Gothic"/>
        <family val="3"/>
        <charset val="129"/>
      </rPr>
      <t>영미 문학 읽기</t>
    </r>
    <r>
      <rPr>
        <sz val="9"/>
        <rFont val="Malgun Gothic"/>
        <family val="3"/>
        <charset val="129"/>
      </rPr>
      <t xml:space="preserve"> / </t>
    </r>
    <r>
      <rPr>
        <b/>
        <sz val="9"/>
        <color rgb="FF0000FF"/>
        <rFont val="Malgun Gothic"/>
        <family val="3"/>
        <charset val="129"/>
      </rPr>
      <t>심화 영어</t>
    </r>
    <phoneticPr fontId="11" type="noConversion"/>
  </si>
  <si>
    <r>
      <rPr>
        <b/>
        <sz val="9"/>
        <color rgb="FF0000FF"/>
        <rFont val="Malgun Gothic"/>
        <family val="3"/>
        <charset val="129"/>
      </rPr>
      <t>심화 영어 독해와 작문</t>
    </r>
    <r>
      <rPr>
        <sz val="9"/>
        <rFont val="Malgun Gothic"/>
        <family val="3"/>
        <charset val="129"/>
      </rPr>
      <t xml:space="preserve"> / 미디어 영어 / 세계 문화와 영어</t>
    </r>
    <phoneticPr fontId="11" type="noConversion"/>
  </si>
  <si>
    <r>
      <rPr>
        <b/>
        <sz val="9"/>
        <color rgb="FF0000FF"/>
        <rFont val="Malgun Gothic"/>
        <family val="3"/>
        <charset val="129"/>
      </rPr>
      <t>일본어 회화</t>
    </r>
    <r>
      <rPr>
        <sz val="9"/>
        <color rgb="FF0000FF"/>
        <rFont val="Malgun Gothic"/>
        <family val="3"/>
        <charset val="129"/>
      </rPr>
      <t xml:space="preserve"> / </t>
    </r>
    <r>
      <rPr>
        <b/>
        <sz val="9"/>
        <color rgb="FF0000FF"/>
        <rFont val="Malgun Gothic"/>
        <family val="3"/>
        <charset val="129"/>
      </rPr>
      <t>중국어 회화</t>
    </r>
    <r>
      <rPr>
        <sz val="9"/>
        <color rgb="FF0000FF"/>
        <rFont val="Malgun Gothic"/>
        <family val="3"/>
        <charset val="129"/>
      </rPr>
      <t xml:space="preserve"> /</t>
    </r>
    <r>
      <rPr>
        <b/>
        <sz val="9"/>
        <color rgb="FF0000FF"/>
        <rFont val="Malgun Gothic"/>
        <family val="3"/>
        <charset val="129"/>
      </rPr>
      <t xml:space="preserve"> 한문 고전 읽기</t>
    </r>
    <phoneticPr fontId="11" type="noConversion"/>
  </si>
  <si>
    <r>
      <rPr>
        <b/>
        <sz val="9"/>
        <color rgb="FF0000FF"/>
        <rFont val="Malgun Gothic"/>
        <family val="3"/>
        <charset val="129"/>
      </rPr>
      <t xml:space="preserve">음악 감상과 비평 </t>
    </r>
    <r>
      <rPr>
        <sz val="9"/>
        <rFont val="Malgun Gothic"/>
        <family val="3"/>
        <charset val="129"/>
      </rPr>
      <t>/ 미술과 매체</t>
    </r>
    <phoneticPr fontId="11" type="noConversion"/>
  </si>
  <si>
    <r>
      <rPr>
        <b/>
        <sz val="9"/>
        <color rgb="FF0000FF"/>
        <rFont val="Malgun Gothic"/>
        <family val="3"/>
        <charset val="129"/>
      </rPr>
      <t xml:space="preserve">음악 연주와 창작 </t>
    </r>
    <r>
      <rPr>
        <sz val="9"/>
        <color rgb="FF0000FF"/>
        <rFont val="Malgun Gothic"/>
        <family val="3"/>
        <charset val="129"/>
      </rPr>
      <t>/</t>
    </r>
    <r>
      <rPr>
        <b/>
        <sz val="9"/>
        <color rgb="FF0000FF"/>
        <rFont val="Malgun Gothic"/>
        <family val="3"/>
        <charset val="129"/>
      </rPr>
      <t xml:space="preserve"> 미술감상과 비평</t>
    </r>
    <phoneticPr fontId="11" type="noConversion"/>
  </si>
  <si>
    <r>
      <t xml:space="preserve">생태와 환경 / </t>
    </r>
    <r>
      <rPr>
        <b/>
        <sz val="9"/>
        <color rgb="FF0000FF"/>
        <rFont val="Malgun Gothic"/>
        <family val="3"/>
        <charset val="129"/>
      </rPr>
      <t>인간과 철학</t>
    </r>
    <r>
      <rPr>
        <sz val="9"/>
        <color rgb="FF0000FF"/>
        <rFont val="Malgun Gothic"/>
        <family val="3"/>
        <charset val="129"/>
      </rPr>
      <t xml:space="preserve"> / </t>
    </r>
    <r>
      <rPr>
        <b/>
        <sz val="9"/>
        <color rgb="FF0000FF"/>
        <rFont val="Malgun Gothic"/>
        <family val="3"/>
        <charset val="129"/>
      </rPr>
      <t>논리와 사고</t>
    </r>
    <r>
      <rPr>
        <sz val="9"/>
        <color rgb="FF0000FF"/>
        <rFont val="Malgun Gothic"/>
        <family val="3"/>
        <charset val="129"/>
      </rPr>
      <t xml:space="preserve"> /</t>
    </r>
    <r>
      <rPr>
        <b/>
        <sz val="9"/>
        <color rgb="FF0000FF"/>
        <rFont val="Malgun Gothic"/>
        <family val="3"/>
        <charset val="129"/>
      </rPr>
      <t xml:space="preserve"> 인간과 심리</t>
    </r>
    <r>
      <rPr>
        <sz val="9"/>
        <color rgb="FF0000FF"/>
        <rFont val="Malgun Gothic"/>
        <family val="3"/>
        <charset val="129"/>
      </rPr>
      <t xml:space="preserve"> /</t>
    </r>
    <r>
      <rPr>
        <b/>
        <sz val="9"/>
        <color rgb="FF0000FF"/>
        <rFont val="Malgun Gothic"/>
        <family val="3"/>
        <charset val="129"/>
      </rPr>
      <t xml:space="preserve"> 교육의 이해</t>
    </r>
    <r>
      <rPr>
        <sz val="9"/>
        <color rgb="FF0000FF"/>
        <rFont val="Malgun Gothic"/>
        <family val="3"/>
        <charset val="129"/>
      </rPr>
      <t xml:space="preserve"> /</t>
    </r>
    <r>
      <rPr>
        <b/>
        <sz val="9"/>
        <color rgb="FF0000FF"/>
        <rFont val="Malgun Gothic"/>
        <family val="3"/>
        <charset val="129"/>
      </rPr>
      <t xml:space="preserve"> 삶과 종교</t>
    </r>
    <r>
      <rPr>
        <sz val="9"/>
        <rFont val="Malgun Gothic"/>
        <family val="3"/>
        <charset val="129"/>
      </rPr>
      <t xml:space="preserve"> / 보건 / 인간과 경제활동 / 논술</t>
    </r>
    <phoneticPr fontId="11" type="noConversion"/>
  </si>
  <si>
    <r>
      <t>일반/</t>
    </r>
    <r>
      <rPr>
        <b/>
        <sz val="9"/>
        <color rgb="FF0000FF"/>
        <rFont val="Malgun Gothic"/>
        <family val="3"/>
        <charset val="129"/>
      </rPr>
      <t>진로</t>
    </r>
    <r>
      <rPr>
        <sz val="9"/>
        <rFont val="Malgun Gothic"/>
        <family val="3"/>
        <charset val="129"/>
      </rPr>
      <t xml:space="preserve">
/융합</t>
    </r>
    <phoneticPr fontId="11" type="noConversion"/>
  </si>
  <si>
    <r>
      <rPr>
        <b/>
        <sz val="9"/>
        <color rgb="FF0000FF"/>
        <rFont val="Malgun Gothic"/>
        <family val="3"/>
        <charset val="129"/>
      </rPr>
      <t>진로</t>
    </r>
    <r>
      <rPr>
        <sz val="9"/>
        <rFont val="Malgun Gothic"/>
        <family val="3"/>
        <charset val="129"/>
      </rPr>
      <t>/융합</t>
    </r>
    <phoneticPr fontId="11" type="noConversion"/>
  </si>
  <si>
    <r>
      <t>일반/</t>
    </r>
    <r>
      <rPr>
        <b/>
        <sz val="9"/>
        <color rgb="FF0000FF"/>
        <rFont val="Malgun Gothic"/>
        <family val="3"/>
        <charset val="129"/>
      </rPr>
      <t>진로</t>
    </r>
    <phoneticPr fontId="11" type="noConversion"/>
  </si>
  <si>
    <t>※파란글씨는 진로선택과목에 해당하는 과목임</t>
  </si>
  <si>
    <r>
      <rPr>
        <sz val="10"/>
        <rFont val="Malgun Gothic Semilight"/>
        <family val="3"/>
        <charset val="129"/>
      </rPr>
      <t>㉦</t>
    </r>
    <r>
      <rPr>
        <sz val="10"/>
        <rFont val="Malgun Gothic"/>
        <family val="3"/>
        <charset val="129"/>
      </rPr>
      <t>사회/
㉠과학</t>
    </r>
    <phoneticPr fontId="11" type="noConversion"/>
  </si>
  <si>
    <t>㉦ 세계시민과 지리 / 사회와 문화/ 현대사회와 윤리 /
㉠ 물리학 / 화학 / 생명과학 / 지구과학</t>
    <phoneticPr fontId="11" type="noConversion"/>
  </si>
  <si>
    <r>
      <rPr>
        <b/>
        <sz val="9"/>
        <color rgb="FF0000FF"/>
        <rFont val="Malgun Gothic"/>
        <family val="3"/>
        <charset val="129"/>
      </rPr>
      <t xml:space="preserve">㉦ 도시의 미래 탐구 </t>
    </r>
    <r>
      <rPr>
        <sz val="9"/>
        <color rgb="FF0000FF"/>
        <rFont val="Malgun Gothic"/>
        <family val="3"/>
        <charset val="129"/>
      </rPr>
      <t>/</t>
    </r>
    <r>
      <rPr>
        <b/>
        <sz val="9"/>
        <color rgb="FF0000FF"/>
        <rFont val="Malgun Gothic"/>
        <family val="3"/>
        <charset val="129"/>
      </rPr>
      <t xml:space="preserve"> 정치</t>
    </r>
    <r>
      <rPr>
        <sz val="9"/>
        <color rgb="FF0000FF"/>
        <rFont val="Malgun Gothic"/>
        <family val="3"/>
        <charset val="129"/>
      </rPr>
      <t xml:space="preserve"> /</t>
    </r>
    <r>
      <rPr>
        <b/>
        <sz val="9"/>
        <color rgb="FF0000FF"/>
        <rFont val="Malgun Gothic"/>
        <family val="3"/>
        <charset val="129"/>
      </rPr>
      <t xml:space="preserve"> 윤리와 사상</t>
    </r>
    <r>
      <rPr>
        <sz val="9"/>
        <color rgb="FF0000FF"/>
        <rFont val="Malgun Gothic"/>
        <family val="3"/>
        <charset val="129"/>
      </rPr>
      <t xml:space="preserve"> /</t>
    </r>
    <r>
      <rPr>
        <b/>
        <sz val="9"/>
        <color rgb="FF0000FF"/>
        <rFont val="Malgun Gothic"/>
        <family val="3"/>
        <charset val="129"/>
      </rPr>
      <t xml:space="preserve"> </t>
    </r>
    <r>
      <rPr>
        <sz val="9"/>
        <rFont val="Malgun Gothic"/>
        <family val="3"/>
        <charset val="129"/>
      </rPr>
      <t xml:space="preserve">
㉠</t>
    </r>
    <r>
      <rPr>
        <b/>
        <sz val="9"/>
        <color rgb="FF0000FF"/>
        <rFont val="Malgun Gothic"/>
        <family val="3"/>
        <charset val="129"/>
      </rPr>
      <t xml:space="preserve"> 전자기와 양자 </t>
    </r>
    <r>
      <rPr>
        <sz val="9"/>
        <color rgb="FF0000FF"/>
        <rFont val="Malgun Gothic"/>
        <family val="3"/>
        <charset val="129"/>
      </rPr>
      <t>/</t>
    </r>
    <r>
      <rPr>
        <b/>
        <sz val="9"/>
        <color rgb="FF0000FF"/>
        <rFont val="Malgun Gothic"/>
        <family val="3"/>
        <charset val="129"/>
      </rPr>
      <t xml:space="preserve"> 물질과 에너지</t>
    </r>
    <r>
      <rPr>
        <sz val="9"/>
        <color rgb="FF0000FF"/>
        <rFont val="Malgun Gothic"/>
        <family val="3"/>
        <charset val="129"/>
      </rPr>
      <t xml:space="preserve"> / </t>
    </r>
    <r>
      <rPr>
        <b/>
        <sz val="9"/>
        <color rgb="FF0000FF"/>
        <rFont val="Malgun Gothic"/>
        <family val="3"/>
        <charset val="129"/>
      </rPr>
      <t xml:space="preserve">화학 반응의 세계 </t>
    </r>
    <r>
      <rPr>
        <sz val="9"/>
        <color rgb="FF0000FF"/>
        <rFont val="Malgun Gothic"/>
        <family val="3"/>
        <charset val="129"/>
      </rPr>
      <t>/</t>
    </r>
    <r>
      <rPr>
        <b/>
        <sz val="9"/>
        <color rgb="FF0000FF"/>
        <rFont val="Malgun Gothic"/>
        <family val="3"/>
        <charset val="129"/>
      </rPr>
      <t xml:space="preserve"> 세포와 물질대사</t>
    </r>
    <r>
      <rPr>
        <sz val="9"/>
        <color rgb="FF0000FF"/>
        <rFont val="Malgun Gothic"/>
        <family val="3"/>
        <charset val="129"/>
      </rPr>
      <t xml:space="preserve"> /</t>
    </r>
    <r>
      <rPr>
        <b/>
        <sz val="9"/>
        <color rgb="FF0000FF"/>
        <rFont val="Malgun Gothic"/>
        <family val="3"/>
        <charset val="129"/>
      </rPr>
      <t xml:space="preserve"> 생명의 유전</t>
    </r>
    <r>
      <rPr>
        <sz val="9"/>
        <color rgb="FF0000FF"/>
        <rFont val="Malgun Gothic"/>
        <family val="3"/>
        <charset val="129"/>
      </rPr>
      <t xml:space="preserve"> / </t>
    </r>
    <r>
      <rPr>
        <b/>
        <sz val="9"/>
        <color rgb="FF0000FF"/>
        <rFont val="Malgun Gothic"/>
        <family val="3"/>
        <charset val="129"/>
      </rPr>
      <t>지구시스템과학</t>
    </r>
    <r>
      <rPr>
        <sz val="9"/>
        <color rgb="FF0000FF"/>
        <rFont val="Malgun Gothic"/>
        <family val="3"/>
        <charset val="129"/>
      </rPr>
      <t xml:space="preserve"> /</t>
    </r>
    <r>
      <rPr>
        <b/>
        <sz val="9"/>
        <color rgb="FF0000FF"/>
        <rFont val="Malgun Gothic"/>
        <family val="3"/>
        <charset val="129"/>
      </rPr>
      <t xml:space="preserve"> 행성우주과학</t>
    </r>
    <phoneticPr fontId="11" type="noConversion"/>
  </si>
  <si>
    <r>
      <rPr>
        <sz val="9"/>
        <rFont val="맑은 고딕"/>
        <family val="3"/>
        <charset val="129"/>
      </rPr>
      <t xml:space="preserve">㉦ 여행지리 </t>
    </r>
    <r>
      <rPr>
        <sz val="9"/>
        <rFont val="&quot;Malgun Gothic&quot;"/>
        <family val="3"/>
      </rPr>
      <t xml:space="preserve">/ </t>
    </r>
    <r>
      <rPr>
        <sz val="9"/>
        <rFont val="맑은 고딕"/>
        <family val="3"/>
        <charset val="129"/>
      </rPr>
      <t>사회문제</t>
    </r>
    <r>
      <rPr>
        <sz val="9"/>
        <rFont val="&quot;Malgun Gothic&quot;"/>
        <family val="3"/>
      </rPr>
      <t xml:space="preserve"> </t>
    </r>
    <r>
      <rPr>
        <sz val="9"/>
        <rFont val="맑은 고딕"/>
        <family val="3"/>
        <charset val="129"/>
      </rPr>
      <t xml:space="preserve">탐구 </t>
    </r>
    <r>
      <rPr>
        <sz val="9"/>
        <rFont val="&quot;Malgun Gothic&quot;"/>
        <family val="3"/>
      </rPr>
      <t xml:space="preserve">/ </t>
    </r>
    <r>
      <rPr>
        <sz val="9"/>
        <rFont val="맑은 고딕"/>
        <family val="3"/>
        <charset val="129"/>
      </rPr>
      <t>윤리문제</t>
    </r>
    <r>
      <rPr>
        <sz val="9"/>
        <rFont val="&quot;Malgun Gothic&quot;"/>
        <family val="3"/>
      </rPr>
      <t xml:space="preserve"> </t>
    </r>
    <r>
      <rPr>
        <sz val="9"/>
        <rFont val="맑은 고딕"/>
        <family val="3"/>
        <charset val="129"/>
      </rPr>
      <t xml:space="preserve">탐구 </t>
    </r>
    <r>
      <rPr>
        <sz val="9"/>
        <rFont val="&quot;Malgun Gothic&quot;"/>
        <family val="3"/>
      </rPr>
      <t xml:space="preserve">/ 
</t>
    </r>
    <r>
      <rPr>
        <sz val="9"/>
        <rFont val="맑은 고딕"/>
        <family val="3"/>
        <charset val="129"/>
      </rPr>
      <t>㉠ 과학의</t>
    </r>
    <r>
      <rPr>
        <sz val="9"/>
        <rFont val="&quot;Malgun Gothic&quot;"/>
        <family val="3"/>
      </rPr>
      <t xml:space="preserve"> </t>
    </r>
    <r>
      <rPr>
        <sz val="9"/>
        <rFont val="맑은 고딕"/>
        <family val="3"/>
        <charset val="129"/>
      </rPr>
      <t>역사와</t>
    </r>
    <r>
      <rPr>
        <sz val="9"/>
        <rFont val="&quot;Malgun Gothic&quot;"/>
        <family val="3"/>
      </rPr>
      <t xml:space="preserve"> </t>
    </r>
    <r>
      <rPr>
        <sz val="9"/>
        <rFont val="맑은 고딕"/>
        <family val="3"/>
        <charset val="129"/>
      </rPr>
      <t xml:space="preserve">문화 </t>
    </r>
    <r>
      <rPr>
        <sz val="9"/>
        <rFont val="&quot;Malgun Gothic&quot;"/>
        <family val="3"/>
      </rPr>
      <t xml:space="preserve">/ </t>
    </r>
    <r>
      <rPr>
        <sz val="9"/>
        <rFont val="맑은 고딕"/>
        <family val="3"/>
        <charset val="129"/>
      </rPr>
      <t>기후변화와</t>
    </r>
    <r>
      <rPr>
        <sz val="9"/>
        <rFont val="&quot;Malgun Gothic&quot;"/>
        <family val="3"/>
      </rPr>
      <t xml:space="preserve"> </t>
    </r>
    <r>
      <rPr>
        <sz val="9"/>
        <rFont val="맑은 고딕"/>
        <family val="3"/>
        <charset val="129"/>
      </rPr>
      <t xml:space="preserve">환경생태 </t>
    </r>
    <r>
      <rPr>
        <sz val="9"/>
        <rFont val="&quot;Malgun Gothic&quot;"/>
        <family val="3"/>
      </rPr>
      <t xml:space="preserve">/ </t>
    </r>
    <r>
      <rPr>
        <sz val="9"/>
        <rFont val="맑은 고딕"/>
        <family val="3"/>
        <charset val="129"/>
      </rPr>
      <t>융합과학</t>
    </r>
    <r>
      <rPr>
        <sz val="9"/>
        <rFont val="&quot;Malgun Gothic&quot;"/>
        <family val="3"/>
      </rPr>
      <t xml:space="preserve"> </t>
    </r>
    <r>
      <rPr>
        <sz val="9"/>
        <rFont val="맑은 고딕"/>
        <family val="3"/>
        <charset val="129"/>
      </rPr>
      <t>탐구</t>
    </r>
    <phoneticPr fontId="11" type="noConversion"/>
  </si>
  <si>
    <r>
      <t xml:space="preserve">● 매체 의사소통 / </t>
    </r>
    <r>
      <rPr>
        <b/>
        <sz val="9"/>
        <color rgb="FF0000FF"/>
        <rFont val="Malgun Gothic"/>
        <family val="3"/>
        <charset val="129"/>
      </rPr>
      <t>영어 발표와 토론</t>
    </r>
    <r>
      <rPr>
        <sz val="9"/>
        <rFont val="Malgun Gothic"/>
        <family val="3"/>
        <charset val="129"/>
      </rPr>
      <t xml:space="preserve"> / </t>
    </r>
    <r>
      <rPr>
        <b/>
        <sz val="9"/>
        <color rgb="FF0000FF"/>
        <rFont val="Malgun Gothic"/>
        <family val="3"/>
        <charset val="129"/>
      </rPr>
      <t xml:space="preserve">기하 </t>
    </r>
    <r>
      <rPr>
        <sz val="9"/>
        <rFont val="Malgun Gothic"/>
        <family val="3"/>
        <charset val="129"/>
      </rPr>
      <t xml:space="preserve">/ 
■ 인문학과 윤리 / 역학과 에너지 / 
</t>
    </r>
    <r>
      <rPr>
        <sz val="9"/>
        <rFont val="Malgun Gothic Semilight"/>
        <family val="3"/>
        <charset val="129"/>
      </rPr>
      <t>▶</t>
    </r>
    <r>
      <rPr>
        <sz val="9"/>
        <rFont val="Malgun Gothic"/>
        <family val="3"/>
        <charset val="129"/>
      </rPr>
      <t xml:space="preserve"> 심화 일본어</t>
    </r>
    <phoneticPr fontId="11" type="noConversion"/>
  </si>
  <si>
    <t>●국어/영어/수학/
■사회/과학/
▶제2외국어/한문</t>
    <phoneticPr fontId="11" type="noConversion"/>
  </si>
  <si>
    <r>
      <t xml:space="preserve">㉦ 세계시민과 지리 / 한국지리 탐구 / 사회와 문화 / 현대사회와 윤리 / 
㉠ 물리학 / 화학 / 생명과학 / 지구과학 / </t>
    </r>
    <r>
      <rPr>
        <b/>
        <sz val="9"/>
        <color rgb="FF0000FF"/>
        <rFont val="Malgun Gothic Semilight"/>
        <family val="3"/>
        <charset val="129"/>
      </rPr>
      <t>전자기와 양자</t>
    </r>
    <r>
      <rPr>
        <sz val="9"/>
        <color rgb="FF0000FF"/>
        <rFont val="Malgun Gothic Semilight"/>
        <family val="3"/>
        <charset val="129"/>
      </rPr>
      <t xml:space="preserve"> /</t>
    </r>
    <r>
      <rPr>
        <b/>
        <sz val="9"/>
        <color rgb="FF0000FF"/>
        <rFont val="Malgun Gothic Semilight"/>
        <family val="3"/>
        <charset val="129"/>
      </rPr>
      <t xml:space="preserve"> 물질과 에너지</t>
    </r>
    <r>
      <rPr>
        <sz val="9"/>
        <color rgb="FF0000FF"/>
        <rFont val="Malgun Gothic Semilight"/>
        <family val="3"/>
        <charset val="129"/>
      </rPr>
      <t xml:space="preserve"> /</t>
    </r>
    <r>
      <rPr>
        <b/>
        <sz val="9"/>
        <color rgb="FF0000FF"/>
        <rFont val="Malgun Gothic Semilight"/>
        <family val="3"/>
        <charset val="129"/>
      </rPr>
      <t xml:space="preserve"> 세포와 물질대사</t>
    </r>
    <r>
      <rPr>
        <sz val="9"/>
        <color rgb="FF0000FF"/>
        <rFont val="Malgun Gothic Semilight"/>
        <family val="3"/>
        <charset val="129"/>
      </rPr>
      <t xml:space="preserve"> /</t>
    </r>
    <r>
      <rPr>
        <b/>
        <sz val="9"/>
        <color rgb="FF0000FF"/>
        <rFont val="Malgun Gothic Semilight"/>
        <family val="3"/>
        <charset val="129"/>
      </rPr>
      <t xml:space="preserve"> 지구시스템과학</t>
    </r>
    <phoneticPr fontId="11" type="noConversion"/>
  </si>
  <si>
    <r>
      <rPr>
        <sz val="9"/>
        <rFont val="맑은 고딕"/>
        <family val="3"/>
        <charset val="129"/>
      </rPr>
      <t>일반</t>
    </r>
    <r>
      <rPr>
        <sz val="9"/>
        <rFont val="Arial"/>
        <family val="2"/>
      </rPr>
      <t>/</t>
    </r>
    <r>
      <rPr>
        <b/>
        <sz val="9"/>
        <color rgb="FF0000FF"/>
        <rFont val="맑은 고딕"/>
        <family val="3"/>
        <charset val="129"/>
      </rPr>
      <t>진로</t>
    </r>
    <phoneticPr fontId="11" type="noConversion"/>
  </si>
  <si>
    <r>
      <rPr>
        <sz val="10"/>
        <rFont val="Malgun Gothic Semilight"/>
        <family val="3"/>
        <charset val="129"/>
      </rPr>
      <t>♠</t>
    </r>
    <r>
      <rPr>
        <sz val="10"/>
        <rFont val="Malgun Gothic"/>
        <family val="3"/>
        <charset val="129"/>
      </rPr>
      <t>기술</t>
    </r>
    <r>
      <rPr>
        <sz val="10"/>
        <rFont val="MS Gothic"/>
        <family val="3"/>
        <charset val="128"/>
      </rPr>
      <t>‧</t>
    </r>
    <r>
      <rPr>
        <sz val="10"/>
        <rFont val="맑은 고딕"/>
        <family val="3"/>
        <charset val="129"/>
      </rPr>
      <t>가정/
정보/
★제2외국어/한문</t>
    </r>
    <phoneticPr fontId="11" type="noConversion"/>
  </si>
  <si>
    <t>사회
(역사/도덕포함)</t>
    <phoneticPr fontId="11" type="noConversion"/>
  </si>
  <si>
    <r>
      <t>기술</t>
    </r>
    <r>
      <rPr>
        <sz val="10"/>
        <rFont val="MS Gothic"/>
        <family val="3"/>
        <charset val="128"/>
      </rPr>
      <t>‧</t>
    </r>
    <r>
      <rPr>
        <sz val="10"/>
        <rFont val="맑은 고딕"/>
        <family val="3"/>
        <charset val="129"/>
      </rPr>
      <t>가정/정보</t>
    </r>
    <phoneticPr fontId="11" type="noConversion"/>
  </si>
  <si>
    <r>
      <rPr>
        <b/>
        <sz val="9"/>
        <color theme="1"/>
        <rFont val="Malgun Gothic"/>
        <family val="3"/>
        <charset val="129"/>
      </rPr>
      <t>♠</t>
    </r>
    <r>
      <rPr>
        <b/>
        <sz val="9"/>
        <color rgb="FF0000FF"/>
        <rFont val="Malgun Gothic"/>
        <family val="3"/>
        <charset val="129"/>
      </rPr>
      <t xml:space="preserve"> 데이터 과학</t>
    </r>
    <r>
      <rPr>
        <sz val="9"/>
        <rFont val="Malgun Gothic"/>
        <family val="3"/>
        <charset val="129"/>
      </rPr>
      <t xml:space="preserve"> / 소프트웨어와 생활 /
★ 일본문화 / 언어생활과 한자</t>
    </r>
    <phoneticPr fontId="11" type="noConversion"/>
  </si>
  <si>
    <t>2026학년도 입학생 3개년 교육과정 편성표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</si>
</sst>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"/>
  </numFmts>
  <fonts count="34">
    <font>
      <sz val="11"/>
      <color rgb="FF000000"/>
      <name val="Calibri"/>
      <scheme val="minor"/>
    </font>
    <font>
      <b/>
      <sz val="18"/>
      <color rgb="FF000000"/>
      <name val="Malgun Gothic"/>
      <family val="3"/>
      <charset val="129"/>
    </font>
    <font>
      <sz val="11"/>
      <name val="Calibri"/>
      <family val="2"/>
    </font>
    <font>
      <sz val="11"/>
      <color rgb="FF000000"/>
      <name val="Dotum"/>
      <family val="3"/>
      <charset val="129"/>
    </font>
    <font>
      <b/>
      <sz val="12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1"/>
      <color theme="1"/>
      <name val="Dotum"/>
      <family val="3"/>
      <charset val="129"/>
    </font>
    <font>
      <sz val="11"/>
      <color theme="1"/>
      <name val="Calibri"/>
      <family val="2"/>
    </font>
    <font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8"/>
      <name val="Calibri"/>
      <family val="3"/>
      <charset val="129"/>
      <scheme val="minor"/>
    </font>
    <font>
      <sz val="10"/>
      <name val="Malgun Gothic"/>
      <family val="3"/>
      <charset val="129"/>
    </font>
    <font>
      <sz val="9"/>
      <name val="Malgun Gothic"/>
      <family val="3"/>
      <charset val="129"/>
    </font>
    <font>
      <sz val="9"/>
      <name val="&quot;Malgun Gothic&quot;"/>
    </font>
    <font>
      <sz val="9"/>
      <name val="Arial"/>
      <family val="2"/>
    </font>
    <font>
      <sz val="10"/>
      <name val="MS Gothic"/>
      <family val="3"/>
      <charset val="128"/>
    </font>
    <font>
      <sz val="10"/>
      <name val="맑은 고딕"/>
      <family val="3"/>
      <charset val="129"/>
    </font>
    <font>
      <sz val="11"/>
      <name val="Calibri"/>
      <family val="2"/>
      <scheme val="minor"/>
    </font>
    <font>
      <sz val="9"/>
      <name val="Malgun Gothic Semilight"/>
      <family val="2"/>
      <charset val="129"/>
    </font>
    <font>
      <sz val="9"/>
      <name val="Malgun Gothic Semilight"/>
      <family val="3"/>
      <charset val="129"/>
    </font>
    <font>
      <sz val="9"/>
      <name val="&quot;Malgun Gothic&quot;"/>
      <family val="3"/>
      <charset val="129"/>
    </font>
    <font>
      <sz val="9"/>
      <name val="맑은 고딕"/>
      <family val="3"/>
      <charset val="129"/>
    </font>
    <font>
      <sz val="9"/>
      <name val="&quot;Malgun Gothic&quot;"/>
      <family val="3"/>
    </font>
    <font>
      <sz val="9"/>
      <color rgb="FF0000FF"/>
      <name val="Malgun Gothic"/>
      <family val="3"/>
      <charset val="129"/>
    </font>
    <font>
      <b/>
      <sz val="9"/>
      <color rgb="FF0000FF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9"/>
      <color rgb="FF0000FF"/>
      <name val="Malgun Gothic Semilight"/>
      <family val="3"/>
      <charset val="129"/>
    </font>
    <font>
      <b/>
      <sz val="9"/>
      <color rgb="FF0000FF"/>
      <name val="Malgun Gothic Semilight"/>
      <family val="3"/>
      <charset val="129"/>
    </font>
    <font>
      <b/>
      <sz val="11"/>
      <color rgb="FF0000FF"/>
      <name val="Calibri"/>
      <family val="2"/>
    </font>
    <font>
      <b/>
      <sz val="9"/>
      <color rgb="FF0000FF"/>
      <name val="맑은 고딕"/>
      <family val="3"/>
      <charset val="129"/>
    </font>
    <font>
      <b/>
      <sz val="25"/>
      <color rgb="FF0000FF"/>
      <name val="Dotum"/>
      <family val="3"/>
      <charset val="129"/>
    </font>
    <font>
      <sz val="10"/>
      <name val="Malgun Gothic Semilight"/>
      <family val="3"/>
      <charset val="129"/>
    </font>
    <font>
      <b/>
      <sz val="9"/>
      <color theme="1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BEEF3"/>
        <bgColor rgb="FFDBEE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 applyFont="1" applyAlignment="1"/>
    <xf numFmtId="0" fontId="3" fillId="0" borderId="0" xfId="0" applyFont="1"/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/>
    <xf numFmtId="0" fontId="9" fillId="0" borderId="2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center" vertical="center"/>
    </xf>
    <xf numFmtId="0" fontId="9" fillId="3" borderId="32" xfId="0" applyFont="1" applyFill="1" applyBorder="1" applyAlignment="1">
      <alignment vertical="center" wrapText="1"/>
    </xf>
    <xf numFmtId="0" fontId="9" fillId="3" borderId="39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9" fillId="3" borderId="56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176" fontId="13" fillId="4" borderId="20" xfId="0" applyNumberFormat="1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3" fillId="4" borderId="42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 wrapText="1"/>
    </xf>
    <xf numFmtId="0" fontId="13" fillId="4" borderId="52" xfId="0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 vertical="center"/>
    </xf>
    <xf numFmtId="0" fontId="13" fillId="4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/>
    </xf>
    <xf numFmtId="0" fontId="12" fillId="4" borderId="31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49" fontId="18" fillId="4" borderId="31" xfId="0" applyNumberFormat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13" fillId="4" borderId="44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 shrinkToFit="1"/>
    </xf>
    <xf numFmtId="0" fontId="13" fillId="4" borderId="8" xfId="0" applyFont="1" applyFill="1" applyBorder="1" applyAlignment="1">
      <alignment horizontal="center" vertical="center" wrapText="1" shrinkToFit="1"/>
    </xf>
    <xf numFmtId="0" fontId="13" fillId="4" borderId="23" xfId="0" applyFont="1" applyFill="1" applyBorder="1" applyAlignment="1">
      <alignment horizontal="center" vertical="center" shrinkToFit="1"/>
    </xf>
    <xf numFmtId="177" fontId="13" fillId="4" borderId="23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 shrinkToFit="1"/>
    </xf>
    <xf numFmtId="0" fontId="13" fillId="4" borderId="23" xfId="0" applyFont="1" applyFill="1" applyBorder="1" applyAlignment="1">
      <alignment horizontal="center" vertical="center" wrapText="1" shrinkToFit="1"/>
    </xf>
    <xf numFmtId="0" fontId="13" fillId="4" borderId="24" xfId="0" applyFont="1" applyFill="1" applyBorder="1" applyAlignment="1">
      <alignment horizontal="center" vertical="center" shrinkToFit="1"/>
    </xf>
    <xf numFmtId="0" fontId="13" fillId="4" borderId="47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 shrinkToFi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77" fontId="13" fillId="4" borderId="8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shrinkToFit="1"/>
    </xf>
    <xf numFmtId="0" fontId="9" fillId="0" borderId="42" xfId="0" applyFont="1" applyBorder="1" applyAlignment="1">
      <alignment horizontal="center" vertical="center"/>
    </xf>
    <xf numFmtId="0" fontId="9" fillId="3" borderId="11" xfId="0" applyFont="1" applyFill="1" applyBorder="1" applyAlignment="1">
      <alignment vertical="center" wrapText="1"/>
    </xf>
    <xf numFmtId="0" fontId="2" fillId="0" borderId="31" xfId="0" applyFont="1" applyBorder="1" applyAlignment="1">
      <alignment horizontal="center" vertical="center"/>
    </xf>
    <xf numFmtId="0" fontId="9" fillId="0" borderId="31" xfId="0" applyNumberFormat="1" applyFont="1" applyBorder="1" applyAlignment="1">
      <alignment horizontal="center" vertical="center"/>
    </xf>
    <xf numFmtId="0" fontId="25" fillId="4" borderId="23" xfId="0" applyFont="1" applyFill="1" applyBorder="1" applyAlignment="1">
      <alignment horizontal="center" vertical="center" wrapText="1"/>
    </xf>
    <xf numFmtId="0" fontId="26" fillId="4" borderId="23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shrinkToFit="1"/>
    </xf>
    <xf numFmtId="0" fontId="25" fillId="4" borderId="34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7" xfId="0" applyNumberFormat="1" applyFont="1" applyBorder="1" applyAlignment="1">
      <alignment horizontal="center" vertical="center"/>
    </xf>
    <xf numFmtId="49" fontId="9" fillId="0" borderId="45" xfId="0" applyNumberFormat="1" applyFont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2" fillId="4" borderId="13" xfId="0" applyFont="1" applyFill="1" applyBorder="1"/>
    <xf numFmtId="0" fontId="2" fillId="4" borderId="24" xfId="0" applyFont="1" applyFill="1" applyBorder="1"/>
    <xf numFmtId="0" fontId="12" fillId="4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6" xfId="0" applyFont="1" applyBorder="1"/>
    <xf numFmtId="0" fontId="10" fillId="0" borderId="38" xfId="0" applyFont="1" applyBorder="1" applyAlignment="1">
      <alignment horizontal="center" vertical="center" wrapText="1"/>
    </xf>
    <xf numFmtId="0" fontId="2" fillId="0" borderId="29" xfId="0" applyFont="1" applyBorder="1"/>
    <xf numFmtId="0" fontId="2" fillId="0" borderId="30" xfId="0" applyFont="1" applyBorder="1"/>
    <xf numFmtId="0" fontId="13" fillId="4" borderId="42" xfId="0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5" xfId="0" applyFont="1" applyBorder="1"/>
    <xf numFmtId="0" fontId="2" fillId="0" borderId="27" xfId="0" applyFont="1" applyBorder="1"/>
    <xf numFmtId="0" fontId="12" fillId="4" borderId="19" xfId="0" applyFont="1" applyFill="1" applyBorder="1" applyAlignment="1">
      <alignment horizontal="center" vertical="center"/>
    </xf>
    <xf numFmtId="0" fontId="2" fillId="4" borderId="41" xfId="0" applyFont="1" applyFill="1" applyBorder="1"/>
    <xf numFmtId="0" fontId="1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/>
    <xf numFmtId="0" fontId="2" fillId="4" borderId="30" xfId="0" applyFont="1" applyFill="1" applyBorder="1"/>
    <xf numFmtId="0" fontId="13" fillId="4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/>
    </xf>
    <xf numFmtId="177" fontId="13" fillId="4" borderId="49" xfId="0" applyNumberFormat="1" applyFont="1" applyFill="1" applyBorder="1" applyAlignment="1">
      <alignment horizontal="center" vertical="center" wrapText="1"/>
    </xf>
    <xf numFmtId="0" fontId="19" fillId="4" borderId="52" xfId="0" applyFont="1" applyFill="1" applyBorder="1" applyAlignment="1">
      <alignment horizontal="center" vertical="center" wrapText="1"/>
    </xf>
    <xf numFmtId="0" fontId="20" fillId="4" borderId="54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wrapText="1" shrinkToFit="1"/>
    </xf>
    <xf numFmtId="0" fontId="2" fillId="0" borderId="35" xfId="0" applyFont="1" applyBorder="1"/>
    <xf numFmtId="0" fontId="12" fillId="4" borderId="44" xfId="0" applyFont="1" applyFill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 vertical="center"/>
    </xf>
    <xf numFmtId="177" fontId="13" fillId="4" borderId="43" xfId="0" applyNumberFormat="1" applyFont="1" applyFill="1" applyBorder="1" applyAlignment="1">
      <alignment horizontal="center" vertical="center" wrapText="1"/>
    </xf>
    <xf numFmtId="177" fontId="13" fillId="4" borderId="46" xfId="0" applyNumberFormat="1" applyFont="1" applyFill="1" applyBorder="1" applyAlignment="1">
      <alignment horizontal="center" vertical="center" wrapText="1"/>
    </xf>
    <xf numFmtId="177" fontId="13" fillId="4" borderId="42" xfId="0" applyNumberFormat="1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shrinkToFit="1"/>
    </xf>
    <xf numFmtId="0" fontId="13" fillId="4" borderId="52" xfId="0" applyFont="1" applyFill="1" applyBorder="1" applyAlignment="1">
      <alignment horizontal="center" vertical="center"/>
    </xf>
    <xf numFmtId="0" fontId="13" fillId="4" borderId="54" xfId="0" applyFont="1" applyFill="1" applyBorder="1" applyAlignment="1">
      <alignment horizontal="center" vertical="center"/>
    </xf>
    <xf numFmtId="177" fontId="13" fillId="4" borderId="52" xfId="0" applyNumberFormat="1" applyFont="1" applyFill="1" applyBorder="1" applyAlignment="1">
      <alignment horizontal="center" vertical="center" wrapText="1"/>
    </xf>
    <xf numFmtId="177" fontId="13" fillId="4" borderId="54" xfId="0" applyNumberFormat="1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2" fillId="0" borderId="37" xfId="0" applyFont="1" applyBorder="1"/>
    <xf numFmtId="0" fontId="2" fillId="0" borderId="10" xfId="0" applyFont="1" applyBorder="1"/>
    <xf numFmtId="0" fontId="13" fillId="4" borderId="13" xfId="0" applyFont="1" applyFill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 vertical="center" wrapText="1"/>
    </xf>
    <xf numFmtId="0" fontId="25" fillId="4" borderId="43" xfId="0" applyFont="1" applyFill="1" applyBorder="1" applyAlignment="1">
      <alignment horizontal="center" vertical="center" wrapText="1"/>
    </xf>
    <xf numFmtId="0" fontId="29" fillId="4" borderId="24" xfId="0" applyFont="1" applyFill="1" applyBorder="1"/>
    <xf numFmtId="0" fontId="21" fillId="5" borderId="33" xfId="0" applyFont="1" applyFill="1" applyBorder="1" applyAlignment="1">
      <alignment horizontal="center" vertical="center" wrapText="1"/>
    </xf>
    <xf numFmtId="0" fontId="2" fillId="4" borderId="25" xfId="0" applyFont="1" applyFill="1" applyBorder="1"/>
    <xf numFmtId="0" fontId="9" fillId="3" borderId="22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3" fillId="4" borderId="53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55" xfId="0" applyFont="1" applyFill="1" applyBorder="1" applyAlignment="1">
      <alignment horizontal="center" vertical="center"/>
    </xf>
    <xf numFmtId="0" fontId="2" fillId="4" borderId="48" xfId="0" applyFont="1" applyFill="1" applyBorder="1"/>
    <xf numFmtId="0" fontId="9" fillId="3" borderId="22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7" xfId="0" applyFont="1" applyBorder="1"/>
    <xf numFmtId="0" fontId="2" fillId="0" borderId="26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0" borderId="5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/>
    </xf>
    <xf numFmtId="0" fontId="13" fillId="4" borderId="44" xfId="0" applyFont="1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0F06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16"/>
  <sheetViews>
    <sheetView tabSelected="1" zoomScale="70" zoomScaleNormal="70" workbookViewId="0">
      <selection sqref="A1:O1"/>
    </sheetView>
  </sheetViews>
  <sheetFormatPr defaultColWidth="14.42578125" defaultRowHeight="15" customHeight="1"/>
  <cols>
    <col min="1" max="1" width="3.5703125" customWidth="1"/>
    <col min="2" max="2" width="17" customWidth="1"/>
    <col min="3" max="3" width="45.5703125" customWidth="1"/>
    <col min="4" max="4" width="7.7109375" customWidth="1"/>
    <col min="5" max="5" width="8.28515625" customWidth="1"/>
    <col min="6" max="13" width="4.7109375" customWidth="1"/>
    <col min="14" max="14" width="5.7109375" customWidth="1"/>
    <col min="15" max="15" width="5.5703125" customWidth="1"/>
    <col min="16" max="25" width="8.85546875" customWidth="1"/>
  </cols>
  <sheetData>
    <row r="1" spans="1:25" ht="39.75" customHeight="1">
      <c r="A1" s="140" t="s">
        <v>106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2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143" t="s">
        <v>1</v>
      </c>
      <c r="K2" s="144"/>
      <c r="L2" s="144"/>
      <c r="M2" s="144"/>
      <c r="N2" s="144"/>
      <c r="O2" s="145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>
      <c r="A3" s="146" t="s">
        <v>2</v>
      </c>
      <c r="B3" s="147" t="s">
        <v>3</v>
      </c>
      <c r="C3" s="80" t="s">
        <v>4</v>
      </c>
      <c r="D3" s="80" t="s">
        <v>5</v>
      </c>
      <c r="E3" s="80" t="s">
        <v>6</v>
      </c>
      <c r="F3" s="80" t="s">
        <v>7</v>
      </c>
      <c r="G3" s="80" t="s">
        <v>8</v>
      </c>
      <c r="H3" s="149" t="s">
        <v>9</v>
      </c>
      <c r="I3" s="116"/>
      <c r="J3" s="149" t="s">
        <v>10</v>
      </c>
      <c r="K3" s="116"/>
      <c r="L3" s="149" t="s">
        <v>11</v>
      </c>
      <c r="M3" s="116"/>
      <c r="N3" s="80" t="s">
        <v>12</v>
      </c>
      <c r="O3" s="148" t="s">
        <v>13</v>
      </c>
      <c r="P3" s="1"/>
      <c r="Q3" s="4"/>
      <c r="R3" s="5"/>
      <c r="S3" s="5"/>
      <c r="T3" s="5"/>
      <c r="U3" s="5"/>
      <c r="V3" s="5"/>
      <c r="W3" s="1"/>
      <c r="X3" s="1"/>
      <c r="Y3" s="1"/>
    </row>
    <row r="4" spans="1:25" ht="13.5" customHeight="1">
      <c r="A4" s="89"/>
      <c r="B4" s="81"/>
      <c r="C4" s="81"/>
      <c r="D4" s="81"/>
      <c r="E4" s="81"/>
      <c r="F4" s="81"/>
      <c r="G4" s="81"/>
      <c r="H4" s="147" t="s">
        <v>14</v>
      </c>
      <c r="I4" s="147" t="s">
        <v>15</v>
      </c>
      <c r="J4" s="147" t="s">
        <v>14</v>
      </c>
      <c r="K4" s="147" t="s">
        <v>15</v>
      </c>
      <c r="L4" s="147" t="s">
        <v>14</v>
      </c>
      <c r="M4" s="147" t="s">
        <v>15</v>
      </c>
      <c r="N4" s="81"/>
      <c r="O4" s="134"/>
      <c r="P4" s="1"/>
      <c r="Q4" s="6"/>
      <c r="R4" s="6"/>
      <c r="S4" s="6"/>
      <c r="T4" s="6"/>
      <c r="U4" s="6"/>
      <c r="V4" s="6"/>
      <c r="W4" s="1"/>
      <c r="X4" s="1"/>
      <c r="Y4" s="1"/>
    </row>
    <row r="5" spans="1:25" ht="13.5" customHeight="1">
      <c r="A5" s="90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135"/>
      <c r="P5" s="1"/>
      <c r="Q5" s="4"/>
      <c r="R5" s="5"/>
      <c r="S5" s="5"/>
      <c r="T5" s="5"/>
      <c r="U5" s="5"/>
      <c r="V5" s="5"/>
      <c r="W5" s="1"/>
      <c r="X5" s="1"/>
      <c r="Y5" s="1"/>
    </row>
    <row r="6" spans="1:25" ht="17.25" customHeight="1">
      <c r="A6" s="88" t="s">
        <v>16</v>
      </c>
      <c r="B6" s="92" t="s">
        <v>17</v>
      </c>
      <c r="C6" s="18" t="s">
        <v>18</v>
      </c>
      <c r="D6" s="19" t="s">
        <v>19</v>
      </c>
      <c r="E6" s="18" t="s">
        <v>20</v>
      </c>
      <c r="F6" s="20">
        <v>4</v>
      </c>
      <c r="G6" s="19">
        <v>4</v>
      </c>
      <c r="H6" s="21">
        <v>4</v>
      </c>
      <c r="I6" s="19"/>
      <c r="J6" s="22"/>
      <c r="K6" s="19"/>
      <c r="L6" s="19"/>
      <c r="M6" s="19"/>
      <c r="N6" s="130">
        <f>SUM(H6:M10)</f>
        <v>21</v>
      </c>
      <c r="O6" s="133">
        <v>8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7.25" customHeight="1">
      <c r="A7" s="89"/>
      <c r="B7" s="77"/>
      <c r="C7" s="23" t="s">
        <v>21</v>
      </c>
      <c r="D7" s="24" t="s">
        <v>19</v>
      </c>
      <c r="E7" s="25" t="s">
        <v>20</v>
      </c>
      <c r="F7" s="26">
        <v>4</v>
      </c>
      <c r="G7" s="27">
        <v>4</v>
      </c>
      <c r="H7" s="27"/>
      <c r="I7" s="28">
        <v>4</v>
      </c>
      <c r="J7" s="28"/>
      <c r="K7" s="28"/>
      <c r="L7" s="28"/>
      <c r="M7" s="28"/>
      <c r="N7" s="77"/>
      <c r="O7" s="134"/>
      <c r="P7" s="1"/>
      <c r="Q7" s="1"/>
      <c r="R7" s="1"/>
      <c r="S7" s="1"/>
      <c r="T7" s="8"/>
      <c r="U7" s="1"/>
      <c r="V7" s="1"/>
      <c r="W7" s="1"/>
      <c r="X7" s="1"/>
      <c r="Y7" s="1"/>
    </row>
    <row r="8" spans="1:25" ht="17.25" customHeight="1">
      <c r="A8" s="89"/>
      <c r="B8" s="93"/>
      <c r="C8" s="29" t="s">
        <v>22</v>
      </c>
      <c r="D8" s="30" t="s">
        <v>19</v>
      </c>
      <c r="E8" s="29" t="s">
        <v>23</v>
      </c>
      <c r="F8" s="30">
        <v>4</v>
      </c>
      <c r="G8" s="30">
        <v>4</v>
      </c>
      <c r="H8" s="30"/>
      <c r="I8" s="30"/>
      <c r="J8" s="30">
        <v>4</v>
      </c>
      <c r="K8" s="30"/>
      <c r="L8" s="30"/>
      <c r="M8" s="30"/>
      <c r="N8" s="132"/>
      <c r="O8" s="134"/>
      <c r="P8" s="1"/>
      <c r="Q8" s="1"/>
      <c r="R8" s="1"/>
      <c r="S8" s="1"/>
      <c r="T8" s="8"/>
      <c r="U8" s="1"/>
      <c r="V8" s="1"/>
      <c r="W8" s="1"/>
      <c r="X8" s="1"/>
      <c r="Y8" s="1"/>
    </row>
    <row r="9" spans="1:25" ht="17.25" customHeight="1">
      <c r="A9" s="90"/>
      <c r="B9" s="93"/>
      <c r="C9" s="29" t="s">
        <v>24</v>
      </c>
      <c r="D9" s="30" t="s">
        <v>19</v>
      </c>
      <c r="E9" s="29" t="s">
        <v>23</v>
      </c>
      <c r="F9" s="30">
        <v>4</v>
      </c>
      <c r="G9" s="30">
        <v>4</v>
      </c>
      <c r="H9" s="30"/>
      <c r="I9" s="30"/>
      <c r="J9" s="30"/>
      <c r="K9" s="30">
        <v>4</v>
      </c>
      <c r="L9" s="30"/>
      <c r="M9" s="30"/>
      <c r="N9" s="132"/>
      <c r="O9" s="135"/>
      <c r="P9" s="1"/>
      <c r="Q9" s="1"/>
      <c r="R9" s="1"/>
      <c r="S9" s="1"/>
      <c r="T9" s="8"/>
      <c r="U9" s="1"/>
      <c r="V9" s="1"/>
      <c r="W9" s="1"/>
      <c r="X9" s="1"/>
      <c r="Y9" s="1"/>
    </row>
    <row r="10" spans="1:25" ht="17.25" customHeight="1">
      <c r="A10" s="89"/>
      <c r="B10" s="78"/>
      <c r="C10" s="31" t="s">
        <v>73</v>
      </c>
      <c r="D10" s="32" t="s">
        <v>19</v>
      </c>
      <c r="E10" s="31" t="s">
        <v>23</v>
      </c>
      <c r="F10" s="32">
        <v>4</v>
      </c>
      <c r="G10" s="32">
        <v>5</v>
      </c>
      <c r="H10" s="32"/>
      <c r="I10" s="32"/>
      <c r="J10" s="32"/>
      <c r="K10" s="32"/>
      <c r="L10" s="32">
        <v>5</v>
      </c>
      <c r="M10" s="32"/>
      <c r="N10" s="78"/>
      <c r="O10" s="136"/>
      <c r="P10" s="1"/>
      <c r="Q10" s="8"/>
      <c r="R10" s="8"/>
      <c r="S10" s="8"/>
      <c r="T10" s="8"/>
      <c r="U10" s="8"/>
      <c r="V10" s="8"/>
      <c r="W10" s="8"/>
      <c r="X10" s="1"/>
      <c r="Y10" s="1"/>
    </row>
    <row r="11" spans="1:25" ht="17.25" customHeight="1">
      <c r="A11" s="89"/>
      <c r="B11" s="76" t="s">
        <v>25</v>
      </c>
      <c r="C11" s="33" t="s">
        <v>26</v>
      </c>
      <c r="D11" s="34" t="s">
        <v>19</v>
      </c>
      <c r="E11" s="33" t="s">
        <v>20</v>
      </c>
      <c r="F11" s="33">
        <v>4</v>
      </c>
      <c r="G11" s="33">
        <v>4</v>
      </c>
      <c r="H11" s="34">
        <v>4</v>
      </c>
      <c r="I11" s="34"/>
      <c r="J11" s="34"/>
      <c r="K11" s="34"/>
      <c r="L11" s="34"/>
      <c r="M11" s="34"/>
      <c r="N11" s="138">
        <f>SUM(H11:M15)</f>
        <v>19</v>
      </c>
      <c r="O11" s="137">
        <v>8</v>
      </c>
      <c r="P11" s="1"/>
      <c r="Q11" s="8"/>
      <c r="R11" s="8"/>
      <c r="S11" s="8"/>
      <c r="T11" s="8"/>
      <c r="U11" s="8"/>
      <c r="V11" s="8"/>
      <c r="W11" s="8"/>
      <c r="X11" s="1"/>
      <c r="Y11" s="1"/>
    </row>
    <row r="12" spans="1:25" ht="17.25" customHeight="1">
      <c r="A12" s="89"/>
      <c r="B12" s="77"/>
      <c r="C12" s="33" t="s">
        <v>27</v>
      </c>
      <c r="D12" s="34" t="s">
        <v>19</v>
      </c>
      <c r="E12" s="33" t="s">
        <v>20</v>
      </c>
      <c r="F12" s="33">
        <v>4</v>
      </c>
      <c r="G12" s="33">
        <v>3</v>
      </c>
      <c r="H12" s="34"/>
      <c r="I12" s="34">
        <v>3</v>
      </c>
      <c r="J12" s="34"/>
      <c r="K12" s="34"/>
      <c r="L12" s="34"/>
      <c r="M12" s="34"/>
      <c r="N12" s="77"/>
      <c r="O12" s="134"/>
      <c r="P12" s="1"/>
      <c r="Q12" s="8"/>
      <c r="R12" s="8"/>
      <c r="S12" s="8"/>
      <c r="T12" s="8"/>
      <c r="U12" s="8"/>
      <c r="V12" s="8"/>
      <c r="W12" s="8"/>
      <c r="X12" s="1"/>
      <c r="Y12" s="1"/>
    </row>
    <row r="13" spans="1:25" ht="17.25" customHeight="1">
      <c r="A13" s="89"/>
      <c r="B13" s="77"/>
      <c r="C13" s="33" t="s">
        <v>28</v>
      </c>
      <c r="D13" s="34" t="s">
        <v>19</v>
      </c>
      <c r="E13" s="33" t="s">
        <v>23</v>
      </c>
      <c r="F13" s="33">
        <v>4</v>
      </c>
      <c r="G13" s="33">
        <v>5</v>
      </c>
      <c r="H13" s="34"/>
      <c r="I13" s="34"/>
      <c r="J13" s="34">
        <v>5</v>
      </c>
      <c r="K13" s="34"/>
      <c r="L13" s="34"/>
      <c r="M13" s="34"/>
      <c r="N13" s="77"/>
      <c r="O13" s="134"/>
      <c r="P13" s="1"/>
      <c r="Q13" s="8"/>
      <c r="R13" s="8"/>
      <c r="S13" s="8"/>
      <c r="T13" s="8"/>
      <c r="U13" s="8"/>
      <c r="V13" s="8"/>
      <c r="W13" s="8"/>
      <c r="X13" s="1"/>
      <c r="Y13" s="1"/>
    </row>
    <row r="14" spans="1:25" ht="17.25" customHeight="1">
      <c r="A14" s="89"/>
      <c r="B14" s="77"/>
      <c r="C14" s="33" t="s">
        <v>29</v>
      </c>
      <c r="D14" s="34" t="s">
        <v>19</v>
      </c>
      <c r="E14" s="33" t="s">
        <v>23</v>
      </c>
      <c r="F14" s="33">
        <v>4</v>
      </c>
      <c r="G14" s="33">
        <v>4</v>
      </c>
      <c r="H14" s="34"/>
      <c r="I14" s="34"/>
      <c r="J14" s="34"/>
      <c r="K14" s="34">
        <v>4</v>
      </c>
      <c r="L14" s="34"/>
      <c r="M14" s="34"/>
      <c r="N14" s="77"/>
      <c r="O14" s="134"/>
      <c r="P14" s="1"/>
      <c r="Q14" s="8"/>
      <c r="R14" s="8"/>
      <c r="S14" s="8"/>
      <c r="T14" s="8"/>
      <c r="U14" s="8"/>
      <c r="V14" s="8"/>
      <c r="W14" s="8"/>
      <c r="X14" s="1"/>
      <c r="Y14" s="1"/>
    </row>
    <row r="15" spans="1:25" ht="17.25" customHeight="1">
      <c r="A15" s="89"/>
      <c r="B15" s="78"/>
      <c r="C15" s="33" t="s">
        <v>30</v>
      </c>
      <c r="D15" s="34" t="s">
        <v>19</v>
      </c>
      <c r="E15" s="33" t="s">
        <v>23</v>
      </c>
      <c r="F15" s="33">
        <v>4</v>
      </c>
      <c r="G15" s="33">
        <v>3</v>
      </c>
      <c r="H15" s="34"/>
      <c r="I15" s="34"/>
      <c r="J15" s="34"/>
      <c r="K15" s="34">
        <v>3</v>
      </c>
      <c r="L15" s="34"/>
      <c r="M15" s="34"/>
      <c r="N15" s="78"/>
      <c r="O15" s="136"/>
      <c r="P15" s="1"/>
      <c r="Q15" s="8"/>
      <c r="R15" s="8"/>
      <c r="S15" s="8"/>
      <c r="T15" s="8"/>
      <c r="U15" s="8"/>
      <c r="V15" s="8"/>
      <c r="W15" s="8"/>
      <c r="X15" s="1"/>
      <c r="Y15" s="1"/>
    </row>
    <row r="16" spans="1:25" ht="17.25" customHeight="1">
      <c r="A16" s="89"/>
      <c r="B16" s="79" t="s">
        <v>31</v>
      </c>
      <c r="C16" s="33" t="s">
        <v>32</v>
      </c>
      <c r="D16" s="34" t="s">
        <v>19</v>
      </c>
      <c r="E16" s="33" t="s">
        <v>20</v>
      </c>
      <c r="F16" s="34">
        <v>4</v>
      </c>
      <c r="G16" s="33">
        <v>4</v>
      </c>
      <c r="H16" s="34">
        <v>4</v>
      </c>
      <c r="I16" s="34"/>
      <c r="J16" s="34"/>
      <c r="K16" s="34"/>
      <c r="L16" s="34"/>
      <c r="M16" s="34"/>
      <c r="N16" s="139">
        <f>SUM(H16:M19)</f>
        <v>16</v>
      </c>
      <c r="O16" s="137">
        <v>8</v>
      </c>
      <c r="P16" s="1"/>
      <c r="Q16" s="8"/>
      <c r="R16" s="8"/>
      <c r="S16" s="8"/>
      <c r="T16" s="8"/>
      <c r="U16" s="8"/>
      <c r="V16" s="8"/>
      <c r="W16" s="8"/>
      <c r="X16" s="1"/>
      <c r="Y16" s="1"/>
    </row>
    <row r="17" spans="1:25" ht="17.25" customHeight="1">
      <c r="A17" s="89"/>
      <c r="B17" s="77"/>
      <c r="C17" s="33" t="s">
        <v>33</v>
      </c>
      <c r="D17" s="34" t="s">
        <v>19</v>
      </c>
      <c r="E17" s="33" t="s">
        <v>20</v>
      </c>
      <c r="F17" s="34">
        <v>4</v>
      </c>
      <c r="G17" s="33">
        <v>4</v>
      </c>
      <c r="H17" s="34"/>
      <c r="I17" s="34">
        <v>4</v>
      </c>
      <c r="J17" s="34"/>
      <c r="K17" s="34"/>
      <c r="L17" s="34"/>
      <c r="M17" s="34"/>
      <c r="N17" s="77"/>
      <c r="O17" s="134"/>
      <c r="P17" s="1"/>
      <c r="Q17" s="8"/>
      <c r="R17" s="8"/>
      <c r="S17" s="8"/>
      <c r="T17" s="8"/>
      <c r="U17" s="8"/>
      <c r="V17" s="8"/>
      <c r="W17" s="8"/>
      <c r="X17" s="1"/>
      <c r="Y17" s="1"/>
    </row>
    <row r="18" spans="1:25" ht="17.25" customHeight="1">
      <c r="A18" s="89"/>
      <c r="B18" s="77"/>
      <c r="C18" s="33" t="s">
        <v>74</v>
      </c>
      <c r="D18" s="34" t="s">
        <v>19</v>
      </c>
      <c r="E18" s="33" t="s">
        <v>23</v>
      </c>
      <c r="F18" s="34">
        <v>4</v>
      </c>
      <c r="G18" s="33">
        <v>4</v>
      </c>
      <c r="H18" s="34"/>
      <c r="I18" s="34"/>
      <c r="J18" s="34">
        <v>4</v>
      </c>
      <c r="K18" s="34"/>
      <c r="L18" s="34"/>
      <c r="M18" s="34"/>
      <c r="N18" s="77"/>
      <c r="O18" s="134"/>
      <c r="P18" s="1"/>
      <c r="Q18" s="8"/>
      <c r="R18" s="8"/>
      <c r="S18" s="8"/>
      <c r="T18" s="8"/>
      <c r="U18" s="8"/>
      <c r="V18" s="8"/>
      <c r="W18" s="8"/>
      <c r="X18" s="1"/>
      <c r="Y18" s="1"/>
    </row>
    <row r="19" spans="1:25" ht="17.25" customHeight="1">
      <c r="A19" s="89"/>
      <c r="B19" s="78"/>
      <c r="C19" s="33" t="s">
        <v>34</v>
      </c>
      <c r="D19" s="34" t="s">
        <v>19</v>
      </c>
      <c r="E19" s="33" t="s">
        <v>23</v>
      </c>
      <c r="F19" s="34">
        <v>4</v>
      </c>
      <c r="G19" s="33">
        <v>4</v>
      </c>
      <c r="H19" s="34"/>
      <c r="I19" s="34"/>
      <c r="J19" s="33"/>
      <c r="K19" s="34">
        <v>4</v>
      </c>
      <c r="L19" s="34"/>
      <c r="M19" s="34"/>
      <c r="N19" s="78"/>
      <c r="O19" s="136"/>
      <c r="P19" s="1"/>
      <c r="Q19" s="8"/>
      <c r="R19" s="8"/>
      <c r="S19" s="8"/>
      <c r="T19" s="8"/>
      <c r="U19" s="8"/>
      <c r="V19" s="8"/>
      <c r="W19" s="8"/>
      <c r="X19" s="1"/>
      <c r="Y19" s="1"/>
    </row>
    <row r="20" spans="1:25" ht="17.25" customHeight="1">
      <c r="A20" s="89"/>
      <c r="B20" s="79" t="s">
        <v>103</v>
      </c>
      <c r="C20" s="33" t="s">
        <v>35</v>
      </c>
      <c r="D20" s="34" t="s">
        <v>19</v>
      </c>
      <c r="E20" s="33" t="s">
        <v>20</v>
      </c>
      <c r="F20" s="34">
        <v>3</v>
      </c>
      <c r="G20" s="33">
        <v>3</v>
      </c>
      <c r="H20" s="34">
        <v>3</v>
      </c>
      <c r="I20" s="34"/>
      <c r="J20" s="34"/>
      <c r="K20" s="34"/>
      <c r="L20" s="34"/>
      <c r="M20" s="34"/>
      <c r="N20" s="139">
        <v>6</v>
      </c>
      <c r="O20" s="137">
        <v>6</v>
      </c>
      <c r="P20" s="1"/>
      <c r="Q20" s="8"/>
      <c r="R20" s="8"/>
      <c r="S20" s="8"/>
      <c r="T20" s="8"/>
      <c r="U20" s="8"/>
      <c r="V20" s="8"/>
      <c r="W20" s="8"/>
      <c r="X20" s="1"/>
      <c r="Y20" s="1"/>
    </row>
    <row r="21" spans="1:25" ht="17.25" customHeight="1">
      <c r="A21" s="89"/>
      <c r="B21" s="77"/>
      <c r="C21" s="33" t="s">
        <v>36</v>
      </c>
      <c r="D21" s="34" t="s">
        <v>19</v>
      </c>
      <c r="E21" s="33" t="s">
        <v>20</v>
      </c>
      <c r="F21" s="34">
        <v>3</v>
      </c>
      <c r="G21" s="33">
        <v>3</v>
      </c>
      <c r="H21" s="34"/>
      <c r="I21" s="34">
        <v>3</v>
      </c>
      <c r="J21" s="34"/>
      <c r="K21" s="34"/>
      <c r="L21" s="34"/>
      <c r="M21" s="34"/>
      <c r="N21" s="78"/>
      <c r="O21" s="136"/>
      <c r="P21" s="1"/>
      <c r="Q21" s="8"/>
      <c r="R21" s="8"/>
      <c r="S21" s="8"/>
      <c r="T21" s="8"/>
      <c r="U21" s="8"/>
      <c r="V21" s="8"/>
      <c r="W21" s="8"/>
      <c r="X21" s="1"/>
      <c r="Y21" s="1"/>
    </row>
    <row r="22" spans="1:25" ht="17.25" customHeight="1">
      <c r="A22" s="89"/>
      <c r="B22" s="77"/>
      <c r="C22" s="33" t="s">
        <v>37</v>
      </c>
      <c r="D22" s="34" t="s">
        <v>19</v>
      </c>
      <c r="E22" s="33" t="s">
        <v>20</v>
      </c>
      <c r="F22" s="34">
        <v>4</v>
      </c>
      <c r="G22" s="35">
        <v>3</v>
      </c>
      <c r="H22" s="33">
        <v>3</v>
      </c>
      <c r="I22" s="33"/>
      <c r="J22" s="34"/>
      <c r="K22" s="34"/>
      <c r="L22" s="34"/>
      <c r="M22" s="34"/>
      <c r="N22" s="139">
        <f>SUM(N20:N21)</f>
        <v>6</v>
      </c>
      <c r="O22" s="137">
        <v>8</v>
      </c>
      <c r="P22" s="1"/>
      <c r="Q22" s="8"/>
      <c r="R22" s="8"/>
      <c r="S22" s="8"/>
      <c r="T22" s="8"/>
      <c r="U22" s="8"/>
      <c r="V22" s="8"/>
      <c r="W22" s="8"/>
      <c r="X22" s="1"/>
      <c r="Y22" s="1"/>
    </row>
    <row r="23" spans="1:25" ht="17.25" customHeight="1">
      <c r="A23" s="89"/>
      <c r="B23" s="78"/>
      <c r="C23" s="33" t="s">
        <v>38</v>
      </c>
      <c r="D23" s="34" t="s">
        <v>19</v>
      </c>
      <c r="E23" s="33" t="s">
        <v>20</v>
      </c>
      <c r="F23" s="34">
        <v>4</v>
      </c>
      <c r="G23" s="33">
        <v>3</v>
      </c>
      <c r="H23" s="33"/>
      <c r="I23" s="33">
        <v>3</v>
      </c>
      <c r="J23" s="34"/>
      <c r="K23" s="34"/>
      <c r="L23" s="34"/>
      <c r="M23" s="34"/>
      <c r="N23" s="78"/>
      <c r="O23" s="136"/>
      <c r="P23" s="1"/>
      <c r="Q23" s="8"/>
      <c r="R23" s="8"/>
      <c r="S23" s="8"/>
      <c r="T23" s="8"/>
      <c r="U23" s="8"/>
      <c r="V23" s="8"/>
      <c r="W23" s="8"/>
      <c r="X23" s="1"/>
      <c r="Y23" s="1"/>
    </row>
    <row r="24" spans="1:25" ht="17.25" customHeight="1">
      <c r="A24" s="89"/>
      <c r="B24" s="76" t="s">
        <v>39</v>
      </c>
      <c r="C24" s="33" t="s">
        <v>40</v>
      </c>
      <c r="D24" s="34" t="s">
        <v>19</v>
      </c>
      <c r="E24" s="33" t="s">
        <v>20</v>
      </c>
      <c r="F24" s="34">
        <v>4</v>
      </c>
      <c r="G24" s="35">
        <v>4</v>
      </c>
      <c r="H24" s="33">
        <v>4</v>
      </c>
      <c r="I24" s="33"/>
      <c r="J24" s="34"/>
      <c r="K24" s="34"/>
      <c r="L24" s="34"/>
      <c r="M24" s="34"/>
      <c r="N24" s="138">
        <f>SUM(H24:M27)</f>
        <v>10</v>
      </c>
      <c r="O24" s="137">
        <v>10</v>
      </c>
      <c r="P24" s="1"/>
      <c r="Q24" s="8"/>
      <c r="R24" s="8"/>
      <c r="S24" s="8"/>
      <c r="T24" s="8"/>
      <c r="U24" s="8"/>
      <c r="V24" s="8"/>
      <c r="W24" s="8"/>
      <c r="X24" s="1"/>
      <c r="Y24" s="1"/>
    </row>
    <row r="25" spans="1:25" ht="17.25" customHeight="1">
      <c r="A25" s="89"/>
      <c r="B25" s="77"/>
      <c r="C25" s="33" t="s">
        <v>41</v>
      </c>
      <c r="D25" s="34" t="s">
        <v>19</v>
      </c>
      <c r="E25" s="33" t="s">
        <v>20</v>
      </c>
      <c r="F25" s="34">
        <v>4</v>
      </c>
      <c r="G25" s="33">
        <v>4</v>
      </c>
      <c r="H25" s="33"/>
      <c r="I25" s="33">
        <v>4</v>
      </c>
      <c r="J25" s="34"/>
      <c r="K25" s="34"/>
      <c r="L25" s="34"/>
      <c r="M25" s="34"/>
      <c r="N25" s="77"/>
      <c r="O25" s="134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7.25" customHeight="1">
      <c r="A26" s="89"/>
      <c r="B26" s="77"/>
      <c r="C26" s="33" t="s">
        <v>42</v>
      </c>
      <c r="D26" s="34" t="s">
        <v>19</v>
      </c>
      <c r="E26" s="33" t="s">
        <v>20</v>
      </c>
      <c r="F26" s="34">
        <v>1</v>
      </c>
      <c r="G26" s="33">
        <v>1</v>
      </c>
      <c r="H26" s="33">
        <v>1</v>
      </c>
      <c r="I26" s="33"/>
      <c r="J26" s="34"/>
      <c r="K26" s="34"/>
      <c r="L26" s="34"/>
      <c r="M26" s="34"/>
      <c r="N26" s="77"/>
      <c r="O26" s="134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7.25" customHeight="1">
      <c r="A27" s="89"/>
      <c r="B27" s="78"/>
      <c r="C27" s="36" t="s">
        <v>43</v>
      </c>
      <c r="D27" s="34" t="s">
        <v>19</v>
      </c>
      <c r="E27" s="33" t="s">
        <v>20</v>
      </c>
      <c r="F27" s="34">
        <v>1</v>
      </c>
      <c r="G27" s="33">
        <v>1</v>
      </c>
      <c r="H27" s="33"/>
      <c r="I27" s="33">
        <v>1</v>
      </c>
      <c r="J27" s="34"/>
      <c r="K27" s="34"/>
      <c r="L27" s="34"/>
      <c r="M27" s="34"/>
      <c r="N27" s="78"/>
      <c r="O27" s="136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7.25" customHeight="1">
      <c r="A28" s="89"/>
      <c r="B28" s="79" t="s">
        <v>44</v>
      </c>
      <c r="C28" s="33" t="s">
        <v>45</v>
      </c>
      <c r="D28" s="34" t="s">
        <v>19</v>
      </c>
      <c r="E28" s="33" t="s">
        <v>23</v>
      </c>
      <c r="F28" s="34">
        <v>3</v>
      </c>
      <c r="G28" s="33">
        <v>2</v>
      </c>
      <c r="H28" s="33">
        <v>2</v>
      </c>
      <c r="I28" s="33"/>
      <c r="J28" s="33"/>
      <c r="K28" s="33"/>
      <c r="L28" s="33"/>
      <c r="M28" s="33"/>
      <c r="N28" s="139">
        <f>SUM(H28:M33)</f>
        <v>12</v>
      </c>
      <c r="O28" s="137">
        <v>10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7.25" customHeight="1">
      <c r="A29" s="89"/>
      <c r="B29" s="77"/>
      <c r="C29" s="33" t="s">
        <v>46</v>
      </c>
      <c r="D29" s="34" t="s">
        <v>19</v>
      </c>
      <c r="E29" s="33" t="s">
        <v>23</v>
      </c>
      <c r="F29" s="34">
        <v>3</v>
      </c>
      <c r="G29" s="33">
        <v>2</v>
      </c>
      <c r="H29" s="33"/>
      <c r="I29" s="33">
        <v>2</v>
      </c>
      <c r="J29" s="33"/>
      <c r="K29" s="33"/>
      <c r="L29" s="33"/>
      <c r="M29" s="33"/>
      <c r="N29" s="77"/>
      <c r="O29" s="134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7.25" customHeight="1">
      <c r="A30" s="89"/>
      <c r="B30" s="77"/>
      <c r="C30" s="63" t="s">
        <v>47</v>
      </c>
      <c r="D30" s="64" t="s">
        <v>19</v>
      </c>
      <c r="E30" s="63" t="s">
        <v>48</v>
      </c>
      <c r="F30" s="34">
        <v>2</v>
      </c>
      <c r="G30" s="33">
        <v>2</v>
      </c>
      <c r="H30" s="33"/>
      <c r="I30" s="33"/>
      <c r="J30" s="33">
        <v>2</v>
      </c>
      <c r="K30" s="33"/>
      <c r="L30" s="33"/>
      <c r="M30" s="33"/>
      <c r="N30" s="77"/>
      <c r="O30" s="134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7.25" customHeight="1">
      <c r="A31" s="89"/>
      <c r="B31" s="77"/>
      <c r="C31" s="63" t="s">
        <v>49</v>
      </c>
      <c r="D31" s="64" t="s">
        <v>19</v>
      </c>
      <c r="E31" s="63" t="s">
        <v>48</v>
      </c>
      <c r="F31" s="34">
        <v>3</v>
      </c>
      <c r="G31" s="33">
        <v>2</v>
      </c>
      <c r="H31" s="33"/>
      <c r="I31" s="33"/>
      <c r="J31" s="33"/>
      <c r="K31" s="33">
        <v>2</v>
      </c>
      <c r="L31" s="33"/>
      <c r="M31" s="33"/>
      <c r="N31" s="77"/>
      <c r="O31" s="134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7.25" customHeight="1">
      <c r="A32" s="89"/>
      <c r="B32" s="77"/>
      <c r="C32" s="33" t="s">
        <v>50</v>
      </c>
      <c r="D32" s="34" t="s">
        <v>19</v>
      </c>
      <c r="E32" s="33" t="s">
        <v>75</v>
      </c>
      <c r="F32" s="34">
        <v>3</v>
      </c>
      <c r="G32" s="33">
        <v>2</v>
      </c>
      <c r="H32" s="33"/>
      <c r="I32" s="33"/>
      <c r="J32" s="33"/>
      <c r="K32" s="33"/>
      <c r="L32" s="33">
        <v>2</v>
      </c>
      <c r="M32" s="33"/>
      <c r="N32" s="77"/>
      <c r="O32" s="134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7.25" customHeight="1">
      <c r="A33" s="89"/>
      <c r="B33" s="78"/>
      <c r="C33" s="33" t="s">
        <v>51</v>
      </c>
      <c r="D33" s="34" t="s">
        <v>19</v>
      </c>
      <c r="E33" s="33" t="s">
        <v>52</v>
      </c>
      <c r="F33" s="34">
        <v>3</v>
      </c>
      <c r="G33" s="33">
        <v>2</v>
      </c>
      <c r="H33" s="33"/>
      <c r="I33" s="33"/>
      <c r="J33" s="33"/>
      <c r="K33" s="33"/>
      <c r="L33" s="33"/>
      <c r="M33" s="33">
        <v>2</v>
      </c>
      <c r="N33" s="78"/>
      <c r="O33" s="136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7.25" customHeight="1">
      <c r="A34" s="89"/>
      <c r="B34" s="79" t="s">
        <v>53</v>
      </c>
      <c r="C34" s="33" t="s">
        <v>54</v>
      </c>
      <c r="D34" s="34" t="s">
        <v>19</v>
      </c>
      <c r="E34" s="33" t="s">
        <v>23</v>
      </c>
      <c r="F34" s="34">
        <v>3</v>
      </c>
      <c r="G34" s="33">
        <v>2</v>
      </c>
      <c r="H34" s="33">
        <v>2</v>
      </c>
      <c r="I34" s="33"/>
      <c r="J34" s="33"/>
      <c r="K34" s="33"/>
      <c r="L34" s="33"/>
      <c r="M34" s="33"/>
      <c r="N34" s="138">
        <f>SUM(H34:M37)</f>
        <v>8</v>
      </c>
      <c r="O34" s="151">
        <v>10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7.25" customHeight="1">
      <c r="A35" s="89"/>
      <c r="B35" s="77"/>
      <c r="C35" s="33" t="s">
        <v>55</v>
      </c>
      <c r="D35" s="34" t="s">
        <v>19</v>
      </c>
      <c r="E35" s="33" t="s">
        <v>75</v>
      </c>
      <c r="F35" s="34">
        <v>3</v>
      </c>
      <c r="G35" s="33">
        <v>2</v>
      </c>
      <c r="H35" s="33"/>
      <c r="I35" s="33">
        <v>2</v>
      </c>
      <c r="J35" s="33"/>
      <c r="K35" s="33"/>
      <c r="L35" s="33"/>
      <c r="M35" s="33"/>
      <c r="N35" s="77"/>
      <c r="O35" s="134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7.25" customHeight="1">
      <c r="A36" s="89"/>
      <c r="B36" s="77"/>
      <c r="C36" s="33" t="s">
        <v>56</v>
      </c>
      <c r="D36" s="34" t="s">
        <v>19</v>
      </c>
      <c r="E36" s="33" t="s">
        <v>23</v>
      </c>
      <c r="F36" s="34">
        <v>3</v>
      </c>
      <c r="G36" s="33">
        <v>2</v>
      </c>
      <c r="H36" s="33"/>
      <c r="I36" s="33"/>
      <c r="J36" s="33">
        <v>2</v>
      </c>
      <c r="K36" s="33"/>
      <c r="L36" s="33"/>
      <c r="M36" s="33"/>
      <c r="N36" s="77"/>
      <c r="O36" s="134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7.25" customHeight="1">
      <c r="A37" s="89"/>
      <c r="B37" s="78"/>
      <c r="C37" s="63" t="s">
        <v>57</v>
      </c>
      <c r="D37" s="34" t="s">
        <v>19</v>
      </c>
      <c r="E37" s="63" t="s">
        <v>48</v>
      </c>
      <c r="F37" s="34">
        <v>3</v>
      </c>
      <c r="G37" s="33">
        <v>2</v>
      </c>
      <c r="H37" s="33"/>
      <c r="I37" s="33"/>
      <c r="J37" s="33"/>
      <c r="K37" s="33">
        <v>2</v>
      </c>
      <c r="L37" s="33"/>
      <c r="M37" s="33"/>
      <c r="N37" s="78"/>
      <c r="O37" s="136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7.25" customHeight="1">
      <c r="A38" s="89"/>
      <c r="B38" s="102" t="s">
        <v>104</v>
      </c>
      <c r="C38" s="33" t="s">
        <v>58</v>
      </c>
      <c r="D38" s="33" t="s">
        <v>19</v>
      </c>
      <c r="E38" s="33" t="s">
        <v>23</v>
      </c>
      <c r="F38" s="34">
        <v>4</v>
      </c>
      <c r="G38" s="35">
        <v>3</v>
      </c>
      <c r="H38" s="33">
        <v>3</v>
      </c>
      <c r="I38" s="33"/>
      <c r="J38" s="33"/>
      <c r="K38" s="33"/>
      <c r="L38" s="33"/>
      <c r="M38" s="33"/>
      <c r="N38" s="138">
        <f>SUM(H38:M39)</f>
        <v>6</v>
      </c>
      <c r="O38" s="151">
        <v>16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7.25" customHeight="1">
      <c r="A39" s="89"/>
      <c r="B39" s="78"/>
      <c r="C39" s="63" t="s">
        <v>59</v>
      </c>
      <c r="D39" s="33" t="s">
        <v>19</v>
      </c>
      <c r="E39" s="63" t="s">
        <v>76</v>
      </c>
      <c r="F39" s="34">
        <v>4</v>
      </c>
      <c r="G39" s="33">
        <v>3</v>
      </c>
      <c r="H39" s="33"/>
      <c r="I39" s="33">
        <v>3</v>
      </c>
      <c r="J39" s="33"/>
      <c r="K39" s="33"/>
      <c r="L39" s="33"/>
      <c r="M39" s="33"/>
      <c r="N39" s="78"/>
      <c r="O39" s="136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7.25" customHeight="1" thickBot="1">
      <c r="A40" s="91"/>
      <c r="B40" s="94"/>
      <c r="C40" s="95"/>
      <c r="D40" s="95"/>
      <c r="E40" s="96"/>
      <c r="F40" s="37"/>
      <c r="G40" s="38"/>
      <c r="H40" s="38">
        <f t="shared" ref="H40:O40" si="0">SUM(H6:H39)</f>
        <v>30</v>
      </c>
      <c r="I40" s="38">
        <f t="shared" si="0"/>
        <v>29</v>
      </c>
      <c r="J40" s="39">
        <f t="shared" si="0"/>
        <v>17</v>
      </c>
      <c r="K40" s="38">
        <f t="shared" si="0"/>
        <v>19</v>
      </c>
      <c r="L40" s="38">
        <f t="shared" si="0"/>
        <v>7</v>
      </c>
      <c r="M40" s="38">
        <f t="shared" si="0"/>
        <v>2</v>
      </c>
      <c r="N40" s="40">
        <f t="shared" si="0"/>
        <v>104</v>
      </c>
      <c r="O40" s="9">
        <f t="shared" si="0"/>
        <v>84</v>
      </c>
      <c r="P40" s="1"/>
      <c r="Q40" s="1"/>
      <c r="R40" s="1"/>
      <c r="S40" s="1"/>
      <c r="T40" s="1"/>
      <c r="U40" s="1"/>
      <c r="V40" s="1"/>
      <c r="W40" s="1"/>
      <c r="X40" s="1"/>
    </row>
    <row r="41" spans="1:25" ht="17.25" customHeight="1">
      <c r="A41" s="88" t="s">
        <v>60</v>
      </c>
      <c r="B41" s="41" t="s">
        <v>61</v>
      </c>
      <c r="C41" s="42" t="s">
        <v>81</v>
      </c>
      <c r="D41" s="42" t="s">
        <v>62</v>
      </c>
      <c r="E41" s="33" t="s">
        <v>91</v>
      </c>
      <c r="F41" s="19">
        <v>4</v>
      </c>
      <c r="G41" s="42">
        <v>4</v>
      </c>
      <c r="H41" s="32"/>
      <c r="I41" s="32"/>
      <c r="J41" s="32"/>
      <c r="K41" s="32"/>
      <c r="L41" s="31"/>
      <c r="M41" s="31">
        <v>4</v>
      </c>
      <c r="N41" s="130">
        <v>20</v>
      </c>
      <c r="O41" s="123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7.25" customHeight="1">
      <c r="A42" s="89"/>
      <c r="B42" s="79" t="s">
        <v>63</v>
      </c>
      <c r="C42" s="34" t="s">
        <v>82</v>
      </c>
      <c r="D42" s="33" t="s">
        <v>62</v>
      </c>
      <c r="E42" s="33" t="s">
        <v>91</v>
      </c>
      <c r="F42" s="34">
        <v>4</v>
      </c>
      <c r="G42" s="35">
        <v>4</v>
      </c>
      <c r="H42" s="34"/>
      <c r="I42" s="34"/>
      <c r="J42" s="34"/>
      <c r="K42" s="34"/>
      <c r="L42" s="33">
        <v>4</v>
      </c>
      <c r="M42" s="33"/>
      <c r="N42" s="105"/>
      <c r="O42" s="124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7.25" customHeight="1">
      <c r="A43" s="89"/>
      <c r="B43" s="78"/>
      <c r="C43" s="34" t="s">
        <v>83</v>
      </c>
      <c r="D43" s="33" t="s">
        <v>62</v>
      </c>
      <c r="E43" s="33" t="s">
        <v>91</v>
      </c>
      <c r="F43" s="34">
        <v>3</v>
      </c>
      <c r="G43" s="35">
        <v>3</v>
      </c>
      <c r="H43" s="34"/>
      <c r="I43" s="34"/>
      <c r="J43" s="34"/>
      <c r="K43" s="34"/>
      <c r="L43" s="33"/>
      <c r="M43" s="33">
        <v>3</v>
      </c>
      <c r="N43" s="105"/>
      <c r="O43" s="124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7.25" customHeight="1">
      <c r="A44" s="89"/>
      <c r="B44" s="79" t="s">
        <v>64</v>
      </c>
      <c r="C44" s="33" t="s">
        <v>84</v>
      </c>
      <c r="D44" s="33" t="s">
        <v>62</v>
      </c>
      <c r="E44" s="68" t="s">
        <v>101</v>
      </c>
      <c r="F44" s="34">
        <v>4</v>
      </c>
      <c r="G44" s="35">
        <v>5</v>
      </c>
      <c r="H44" s="34"/>
      <c r="I44" s="34"/>
      <c r="J44" s="34"/>
      <c r="K44" s="34"/>
      <c r="L44" s="33">
        <v>5</v>
      </c>
      <c r="M44" s="33"/>
      <c r="N44" s="105"/>
      <c r="O44" s="124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7.25" customHeight="1">
      <c r="A45" s="89"/>
      <c r="B45" s="78"/>
      <c r="C45" s="43" t="s">
        <v>85</v>
      </c>
      <c r="D45" s="43" t="s">
        <v>62</v>
      </c>
      <c r="E45" s="43" t="s">
        <v>91</v>
      </c>
      <c r="F45" s="24">
        <v>4</v>
      </c>
      <c r="G45" s="44">
        <v>4</v>
      </c>
      <c r="H45" s="24"/>
      <c r="I45" s="24"/>
      <c r="J45" s="24"/>
      <c r="K45" s="24"/>
      <c r="L45" s="43"/>
      <c r="M45" s="43">
        <v>4</v>
      </c>
      <c r="N45" s="131"/>
      <c r="O45" s="125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7.25" customHeight="1">
      <c r="A46" s="89"/>
      <c r="B46" s="104" t="s">
        <v>94</v>
      </c>
      <c r="C46" s="97" t="s">
        <v>95</v>
      </c>
      <c r="D46" s="97" t="s">
        <v>71</v>
      </c>
      <c r="E46" s="97" t="s">
        <v>23</v>
      </c>
      <c r="F46" s="98">
        <v>4</v>
      </c>
      <c r="G46" s="99">
        <v>4</v>
      </c>
      <c r="H46" s="98"/>
      <c r="I46" s="98"/>
      <c r="J46" s="98">
        <v>8</v>
      </c>
      <c r="K46" s="98"/>
      <c r="L46" s="98"/>
      <c r="M46" s="98"/>
      <c r="N46" s="110">
        <v>32</v>
      </c>
      <c r="O46" s="126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7.25" customHeight="1">
      <c r="A47" s="89"/>
      <c r="B47" s="93"/>
      <c r="C47" s="97"/>
      <c r="D47" s="97"/>
      <c r="E47" s="97"/>
      <c r="F47" s="98"/>
      <c r="G47" s="99"/>
      <c r="H47" s="98"/>
      <c r="I47" s="98"/>
      <c r="J47" s="98"/>
      <c r="K47" s="98"/>
      <c r="L47" s="98"/>
      <c r="M47" s="98"/>
      <c r="N47" s="129"/>
      <c r="O47" s="127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8.5" customHeight="1">
      <c r="A48" s="89"/>
      <c r="B48" s="93"/>
      <c r="C48" s="100" t="s">
        <v>100</v>
      </c>
      <c r="D48" s="97" t="s">
        <v>71</v>
      </c>
      <c r="E48" s="97" t="s">
        <v>92</v>
      </c>
      <c r="F48" s="110">
        <v>4</v>
      </c>
      <c r="G48" s="112">
        <v>4</v>
      </c>
      <c r="H48" s="110"/>
      <c r="I48" s="110"/>
      <c r="J48" s="110"/>
      <c r="K48" s="110">
        <v>8</v>
      </c>
      <c r="L48" s="110"/>
      <c r="M48" s="110"/>
      <c r="N48" s="129"/>
      <c r="O48" s="127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5.25" customHeight="1">
      <c r="A49" s="89"/>
      <c r="B49" s="93"/>
      <c r="C49" s="101"/>
      <c r="D49" s="97"/>
      <c r="E49" s="97"/>
      <c r="F49" s="111"/>
      <c r="G49" s="113"/>
      <c r="H49" s="111"/>
      <c r="I49" s="111"/>
      <c r="J49" s="111"/>
      <c r="K49" s="111"/>
      <c r="L49" s="111"/>
      <c r="M49" s="111"/>
      <c r="N49" s="129"/>
      <c r="O49" s="127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4.75" customHeight="1">
      <c r="A50" s="89"/>
      <c r="B50" s="77"/>
      <c r="C50" s="118" t="s">
        <v>96</v>
      </c>
      <c r="D50" s="118" t="s">
        <v>65</v>
      </c>
      <c r="E50" s="119" t="s">
        <v>48</v>
      </c>
      <c r="F50" s="105">
        <v>4</v>
      </c>
      <c r="G50" s="106">
        <v>4</v>
      </c>
      <c r="H50" s="105"/>
      <c r="I50" s="105"/>
      <c r="J50" s="105"/>
      <c r="K50" s="105"/>
      <c r="L50" s="105">
        <v>8</v>
      </c>
      <c r="M50" s="155"/>
      <c r="N50" s="129"/>
      <c r="O50" s="127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>
      <c r="A51" s="89"/>
      <c r="B51" s="77"/>
      <c r="C51" s="78"/>
      <c r="D51" s="78"/>
      <c r="E51" s="120"/>
      <c r="F51" s="87"/>
      <c r="G51" s="107"/>
      <c r="H51" s="87"/>
      <c r="I51" s="87"/>
      <c r="J51" s="87"/>
      <c r="K51" s="87"/>
      <c r="L51" s="87"/>
      <c r="M51" s="154"/>
      <c r="N51" s="129"/>
      <c r="O51" s="127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7.25" customHeight="1">
      <c r="A52" s="89"/>
      <c r="B52" s="77"/>
      <c r="C52" s="121" t="s">
        <v>97</v>
      </c>
      <c r="D52" s="117" t="s">
        <v>65</v>
      </c>
      <c r="E52" s="117" t="s">
        <v>52</v>
      </c>
      <c r="F52" s="86">
        <v>4</v>
      </c>
      <c r="G52" s="108">
        <v>4</v>
      </c>
      <c r="H52" s="86"/>
      <c r="I52" s="86"/>
      <c r="J52" s="86"/>
      <c r="K52" s="86"/>
      <c r="L52" s="86"/>
      <c r="M52" s="153">
        <v>8</v>
      </c>
      <c r="N52" s="129"/>
      <c r="O52" s="127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7.25" customHeight="1">
      <c r="A53" s="89"/>
      <c r="B53" s="78"/>
      <c r="C53" s="122"/>
      <c r="D53" s="78"/>
      <c r="E53" s="78"/>
      <c r="F53" s="87"/>
      <c r="G53" s="107"/>
      <c r="H53" s="87"/>
      <c r="I53" s="87"/>
      <c r="J53" s="87"/>
      <c r="K53" s="87"/>
      <c r="L53" s="87"/>
      <c r="M53" s="154"/>
      <c r="N53" s="111"/>
      <c r="O53" s="128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51" customHeight="1">
      <c r="A54" s="89"/>
      <c r="B54" s="45" t="s">
        <v>99</v>
      </c>
      <c r="C54" s="46" t="s">
        <v>98</v>
      </c>
      <c r="D54" s="47" t="s">
        <v>62</v>
      </c>
      <c r="E54" s="33" t="s">
        <v>91</v>
      </c>
      <c r="F54" s="34">
        <v>4</v>
      </c>
      <c r="G54" s="48">
        <v>3</v>
      </c>
      <c r="H54" s="34"/>
      <c r="I54" s="34"/>
      <c r="J54" s="34"/>
      <c r="K54" s="34"/>
      <c r="L54" s="34">
        <v>3</v>
      </c>
      <c r="M54" s="34"/>
      <c r="N54" s="27">
        <v>3</v>
      </c>
      <c r="O54" s="1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44.25" customHeight="1">
      <c r="A55" s="89"/>
      <c r="B55" s="49" t="s">
        <v>102</v>
      </c>
      <c r="C55" s="50" t="s">
        <v>105</v>
      </c>
      <c r="D55" s="51" t="s">
        <v>62</v>
      </c>
      <c r="E55" s="33" t="s">
        <v>91</v>
      </c>
      <c r="F55" s="34">
        <v>4</v>
      </c>
      <c r="G55" s="48">
        <v>3</v>
      </c>
      <c r="H55" s="34"/>
      <c r="I55" s="34"/>
      <c r="J55" s="34"/>
      <c r="K55" s="34"/>
      <c r="L55" s="34"/>
      <c r="M55" s="52">
        <v>3</v>
      </c>
      <c r="N55" s="53">
        <v>3</v>
      </c>
      <c r="O55" s="17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7.25" customHeight="1">
      <c r="A56" s="89"/>
      <c r="B56" s="102" t="s">
        <v>72</v>
      </c>
      <c r="C56" s="54" t="s">
        <v>66</v>
      </c>
      <c r="D56" s="55" t="s">
        <v>62</v>
      </c>
      <c r="E56" s="56" t="s">
        <v>23</v>
      </c>
      <c r="F56" s="40">
        <v>4</v>
      </c>
      <c r="G56" s="57">
        <v>3</v>
      </c>
      <c r="H56" s="34"/>
      <c r="I56" s="34"/>
      <c r="J56" s="34">
        <v>3</v>
      </c>
      <c r="K56" s="34"/>
      <c r="L56" s="34"/>
      <c r="M56" s="34"/>
      <c r="N56" s="105">
        <v>6</v>
      </c>
      <c r="O56" s="137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7.25" customHeight="1">
      <c r="A57" s="89"/>
      <c r="B57" s="77"/>
      <c r="C57" s="65" t="s">
        <v>86</v>
      </c>
      <c r="D57" s="55" t="s">
        <v>62</v>
      </c>
      <c r="E57" s="67" t="s">
        <v>48</v>
      </c>
      <c r="F57" s="40">
        <v>4</v>
      </c>
      <c r="G57" s="57">
        <v>3</v>
      </c>
      <c r="H57" s="34"/>
      <c r="I57" s="34"/>
      <c r="J57" s="34"/>
      <c r="K57" s="34">
        <v>3</v>
      </c>
      <c r="L57" s="34"/>
      <c r="M57" s="34"/>
      <c r="N57" s="152"/>
      <c r="O57" s="134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7.25" customHeight="1">
      <c r="A58" s="89"/>
      <c r="B58" s="109" t="s">
        <v>67</v>
      </c>
      <c r="C58" s="46" t="s">
        <v>87</v>
      </c>
      <c r="D58" s="55" t="s">
        <v>62</v>
      </c>
      <c r="E58" s="56" t="s">
        <v>91</v>
      </c>
      <c r="F58" s="40">
        <v>3</v>
      </c>
      <c r="G58" s="57">
        <v>2</v>
      </c>
      <c r="H58" s="34"/>
      <c r="I58" s="34"/>
      <c r="J58" s="34"/>
      <c r="K58" s="34"/>
      <c r="L58" s="34">
        <v>2</v>
      </c>
      <c r="M58" s="34"/>
      <c r="N58" s="139">
        <v>4</v>
      </c>
      <c r="O58" s="137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7.25" customHeight="1">
      <c r="A59" s="89"/>
      <c r="B59" s="77"/>
      <c r="C59" s="66" t="s">
        <v>88</v>
      </c>
      <c r="D59" s="55" t="s">
        <v>62</v>
      </c>
      <c r="E59" s="67" t="s">
        <v>76</v>
      </c>
      <c r="F59" s="40">
        <v>3</v>
      </c>
      <c r="G59" s="57">
        <v>2</v>
      </c>
      <c r="H59" s="34"/>
      <c r="I59" s="34"/>
      <c r="J59" s="34"/>
      <c r="K59" s="34"/>
      <c r="L59" s="34"/>
      <c r="M59" s="34">
        <v>2</v>
      </c>
      <c r="N59" s="152"/>
      <c r="O59" s="136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35.1" customHeight="1">
      <c r="A60" s="103"/>
      <c r="B60" s="58" t="s">
        <v>68</v>
      </c>
      <c r="C60" s="46" t="s">
        <v>89</v>
      </c>
      <c r="D60" s="55" t="s">
        <v>62</v>
      </c>
      <c r="E60" s="55" t="s">
        <v>90</v>
      </c>
      <c r="F60" s="34">
        <v>3</v>
      </c>
      <c r="G60" s="48">
        <v>2</v>
      </c>
      <c r="H60" s="34"/>
      <c r="I60" s="34"/>
      <c r="J60" s="34">
        <v>2</v>
      </c>
      <c r="K60" s="34"/>
      <c r="L60" s="34"/>
      <c r="M60" s="34"/>
      <c r="N60" s="40">
        <f t="shared" ref="N60:N62" si="1">SUM(H60:M60)</f>
        <v>2</v>
      </c>
      <c r="O60" s="12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7.25" customHeight="1">
      <c r="A61" s="114" t="s">
        <v>69</v>
      </c>
      <c r="B61" s="115"/>
      <c r="C61" s="115"/>
      <c r="D61" s="115"/>
      <c r="E61" s="115"/>
      <c r="F61" s="115"/>
      <c r="G61" s="116"/>
      <c r="H61" s="7">
        <f>SUM(H6:H39)</f>
        <v>30</v>
      </c>
      <c r="I61" s="7">
        <f>SUM(I6:I39)</f>
        <v>29</v>
      </c>
      <c r="J61" s="13">
        <f>SUM(J6:J39,J41:J60)</f>
        <v>30</v>
      </c>
      <c r="K61" s="7">
        <f>SUM(K6:K39,K41:K60)</f>
        <v>30</v>
      </c>
      <c r="L61" s="7">
        <f>SUM(L6:L39,L41:L60)</f>
        <v>29</v>
      </c>
      <c r="M61" s="7">
        <f>SUM(M6:M39,M41:M60)</f>
        <v>26</v>
      </c>
      <c r="N61" s="7">
        <f t="shared" si="1"/>
        <v>174</v>
      </c>
      <c r="O61" s="14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7.25" customHeight="1">
      <c r="A62" s="69" t="s">
        <v>70</v>
      </c>
      <c r="B62" s="115"/>
      <c r="C62" s="115"/>
      <c r="D62" s="115"/>
      <c r="E62" s="115"/>
      <c r="F62" s="115"/>
      <c r="G62" s="116"/>
      <c r="H62" s="7">
        <v>3</v>
      </c>
      <c r="I62" s="7">
        <v>3</v>
      </c>
      <c r="J62" s="7">
        <v>3</v>
      </c>
      <c r="K62" s="7">
        <v>3</v>
      </c>
      <c r="L62" s="7">
        <v>3</v>
      </c>
      <c r="M62" s="7">
        <v>3</v>
      </c>
      <c r="N62" s="7">
        <f t="shared" si="1"/>
        <v>18</v>
      </c>
      <c r="O62" s="14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7.25" customHeight="1">
      <c r="A63" s="69" t="s">
        <v>77</v>
      </c>
      <c r="B63" s="115"/>
      <c r="C63" s="115"/>
      <c r="D63" s="115"/>
      <c r="E63" s="115"/>
      <c r="F63" s="115"/>
      <c r="G63" s="116"/>
      <c r="H63" s="7">
        <f t="shared" ref="H63:N63" si="2">SUM(H61:H62)</f>
        <v>33</v>
      </c>
      <c r="I63" s="7">
        <f t="shared" si="2"/>
        <v>32</v>
      </c>
      <c r="J63" s="13">
        <f t="shared" si="2"/>
        <v>33</v>
      </c>
      <c r="K63" s="7">
        <f t="shared" si="2"/>
        <v>33</v>
      </c>
      <c r="L63" s="7">
        <f t="shared" si="2"/>
        <v>32</v>
      </c>
      <c r="M63" s="7">
        <f t="shared" si="2"/>
        <v>29</v>
      </c>
      <c r="N63" s="7">
        <f t="shared" si="2"/>
        <v>192</v>
      </c>
      <c r="O63" s="14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7.25" customHeight="1">
      <c r="A64" s="69" t="s">
        <v>78</v>
      </c>
      <c r="B64" s="70"/>
      <c r="C64" s="70"/>
      <c r="D64" s="70"/>
      <c r="E64" s="70"/>
      <c r="F64" s="70"/>
      <c r="G64" s="71"/>
      <c r="H64" s="72">
        <v>65</v>
      </c>
      <c r="I64" s="73"/>
      <c r="J64" s="74">
        <v>66</v>
      </c>
      <c r="K64" s="75"/>
      <c r="L64" s="72">
        <v>61</v>
      </c>
      <c r="M64" s="73"/>
      <c r="N64" s="59">
        <f>SUM(H64:M64)</f>
        <v>192</v>
      </c>
      <c r="O64" s="60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7.25" customHeight="1" thickBot="1">
      <c r="A65" s="83" t="s">
        <v>79</v>
      </c>
      <c r="B65" s="84"/>
      <c r="C65" s="84"/>
      <c r="D65" s="84"/>
      <c r="E65" s="84"/>
      <c r="F65" s="84"/>
      <c r="G65" s="85"/>
      <c r="H65" s="10">
        <v>10</v>
      </c>
      <c r="I65" s="61">
        <v>10</v>
      </c>
      <c r="J65" s="62">
        <v>9</v>
      </c>
      <c r="K65" s="61">
        <v>9</v>
      </c>
      <c r="L65" s="10">
        <v>8</v>
      </c>
      <c r="M65" s="61">
        <v>7</v>
      </c>
      <c r="N65" s="10">
        <f>SUM(H65:M65)</f>
        <v>53</v>
      </c>
      <c r="O65" s="15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150" t="s">
        <v>93</v>
      </c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150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16" t="s">
        <v>80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.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.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3.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3.5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3.5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3.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3.5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3.5" customHeight="1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3.5" customHeight="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3.5" customHeight="1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3.5" customHeight="1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3.5" customHeight="1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3.5" customHeight="1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13.5" customHeight="1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</sheetData>
  <mergeCells count="115">
    <mergeCell ref="H46:H47"/>
    <mergeCell ref="I46:I47"/>
    <mergeCell ref="A67:O68"/>
    <mergeCell ref="O20:O21"/>
    <mergeCell ref="N22:N23"/>
    <mergeCell ref="O22:O23"/>
    <mergeCell ref="N24:N27"/>
    <mergeCell ref="O24:O27"/>
    <mergeCell ref="N28:N33"/>
    <mergeCell ref="O28:O33"/>
    <mergeCell ref="N34:N37"/>
    <mergeCell ref="O34:O37"/>
    <mergeCell ref="N20:N21"/>
    <mergeCell ref="N58:N59"/>
    <mergeCell ref="O58:O59"/>
    <mergeCell ref="N38:N39"/>
    <mergeCell ref="L50:L51"/>
    <mergeCell ref="M52:M53"/>
    <mergeCell ref="O38:O39"/>
    <mergeCell ref="N56:N57"/>
    <mergeCell ref="O56:O57"/>
    <mergeCell ref="M50:M51"/>
    <mergeCell ref="N6:N10"/>
    <mergeCell ref="O6:O10"/>
    <mergeCell ref="O11:O15"/>
    <mergeCell ref="N11:N15"/>
    <mergeCell ref="N16:N19"/>
    <mergeCell ref="O16:O19"/>
    <mergeCell ref="A1:O1"/>
    <mergeCell ref="J2:O2"/>
    <mergeCell ref="A3:A5"/>
    <mergeCell ref="B3:B5"/>
    <mergeCell ref="C3:C5"/>
    <mergeCell ref="D3:D5"/>
    <mergeCell ref="O3:O5"/>
    <mergeCell ref="K4:K5"/>
    <mergeCell ref="L3:M3"/>
    <mergeCell ref="N3:N5"/>
    <mergeCell ref="L4:L5"/>
    <mergeCell ref="M4:M5"/>
    <mergeCell ref="H3:I3"/>
    <mergeCell ref="J3:K3"/>
    <mergeCell ref="E3:E5"/>
    <mergeCell ref="H4:H5"/>
    <mergeCell ref="I4:I5"/>
    <mergeCell ref="J4:J5"/>
    <mergeCell ref="O41:O45"/>
    <mergeCell ref="O46:O53"/>
    <mergeCell ref="N46:N53"/>
    <mergeCell ref="N41:N45"/>
    <mergeCell ref="L48:L49"/>
    <mergeCell ref="M48:M49"/>
    <mergeCell ref="J46:J47"/>
    <mergeCell ref="K46:K47"/>
    <mergeCell ref="L46:L47"/>
    <mergeCell ref="M46:M47"/>
    <mergeCell ref="J50:J51"/>
    <mergeCell ref="K50:K51"/>
    <mergeCell ref="A62:G62"/>
    <mergeCell ref="A63:G63"/>
    <mergeCell ref="D52:D53"/>
    <mergeCell ref="E52:E53"/>
    <mergeCell ref="C50:C51"/>
    <mergeCell ref="D50:D51"/>
    <mergeCell ref="E50:E51"/>
    <mergeCell ref="C52:C53"/>
    <mergeCell ref="L52:L53"/>
    <mergeCell ref="H48:H49"/>
    <mergeCell ref="I48:I49"/>
    <mergeCell ref="J48:J49"/>
    <mergeCell ref="K48:K49"/>
    <mergeCell ref="J52:J53"/>
    <mergeCell ref="K52:K53"/>
    <mergeCell ref="H50:H51"/>
    <mergeCell ref="I50:I51"/>
    <mergeCell ref="A61:G61"/>
    <mergeCell ref="B34:B37"/>
    <mergeCell ref="B38:B39"/>
    <mergeCell ref="A41:A60"/>
    <mergeCell ref="B42:B43"/>
    <mergeCell ref="B44:B45"/>
    <mergeCell ref="B46:B53"/>
    <mergeCell ref="F50:F51"/>
    <mergeCell ref="G50:G51"/>
    <mergeCell ref="F52:F53"/>
    <mergeCell ref="G52:G53"/>
    <mergeCell ref="B56:B57"/>
    <mergeCell ref="B58:B59"/>
    <mergeCell ref="E48:E49"/>
    <mergeCell ref="F48:F49"/>
    <mergeCell ref="G48:G49"/>
    <mergeCell ref="A64:G64"/>
    <mergeCell ref="H64:I64"/>
    <mergeCell ref="J64:K64"/>
    <mergeCell ref="L64:M64"/>
    <mergeCell ref="B24:B27"/>
    <mergeCell ref="B28:B33"/>
    <mergeCell ref="F3:F5"/>
    <mergeCell ref="A65:G65"/>
    <mergeCell ref="H52:H53"/>
    <mergeCell ref="I52:I53"/>
    <mergeCell ref="G3:G5"/>
    <mergeCell ref="A6:A40"/>
    <mergeCell ref="B6:B10"/>
    <mergeCell ref="B11:B15"/>
    <mergeCell ref="B16:B19"/>
    <mergeCell ref="B20:B23"/>
    <mergeCell ref="B40:E40"/>
    <mergeCell ref="C46:C47"/>
    <mergeCell ref="D46:D47"/>
    <mergeCell ref="E46:E47"/>
    <mergeCell ref="F46:F47"/>
    <mergeCell ref="G46:G47"/>
    <mergeCell ref="C48:C49"/>
    <mergeCell ref="D48:D49"/>
  </mergeCells>
  <phoneticPr fontId="11" type="noConversion"/>
  <pageMargins left="0.69986110925674438" right="0.69986110925674438" top="0.75" bottom="0.75" header="0" footer="0"/>
  <pageSetup paperSize="12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양식(일반고,자율고)</vt:lpstr>
      <vt:lpstr>'양식(일반고,자율고)'!Print_Area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2025-12-04T06:15:01Z</cp:lastPrinted>
  <dcterms:created xsi:type="dcterms:W3CDTF">2024-09-23T10:27:57Z</dcterms:created>
  <dcterms:modified xsi:type="dcterms:W3CDTF">2025-12-04T06:30:03Z</dcterms:modified>
</cp:coreProperties>
</file>