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100000904-my.sharepoint.com/personal/bulhan79_yeongdeokg_gyo6_net/Documents/2025_고/2. 교육과정 관련/교육과정 편성/2026학년도 고등학교 교육과정 편성표 제출/"/>
    </mc:Choice>
  </mc:AlternateContent>
  <xr:revisionPtr revIDLastSave="126" documentId="8_{82C65B5E-20B1-4838-B494-94EA91ED3F34}" xr6:coauthVersionLast="47" xr6:coauthVersionMax="47" xr10:uidLastSave="{F27361A7-519A-4961-8D10-07517551205B}"/>
  <bookViews>
    <workbookView xWindow="-16080" yWindow="-5535" windowWidth="16410" windowHeight="28905" tabRatio="681" xr2:uid="{00000000-000D-0000-FFFF-FFFF00000000}"/>
  </bookViews>
  <sheets>
    <sheet name="양식(일반고,자율고,특목고)" sheetId="16" r:id="rId1"/>
  </sheets>
  <definedNames>
    <definedName name="_xlnm.Print_Area" localSheetId="0">'양식(일반고,자율고,특목고)'!$A$1:$N$88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16" l="1"/>
  <c r="H46" i="16"/>
  <c r="G46" i="16"/>
  <c r="H87" i="16"/>
  <c r="J87" i="16"/>
  <c r="K87" i="16"/>
  <c r="L87" i="16"/>
  <c r="G87" i="16"/>
  <c r="M39" i="16" l="1"/>
  <c r="M35" i="16"/>
  <c r="M29" i="16"/>
  <c r="M23" i="16"/>
  <c r="M21" i="16"/>
  <c r="M25" i="16"/>
  <c r="M16" i="16" l="1"/>
  <c r="M6" i="16"/>
  <c r="M11" i="16"/>
  <c r="M88" i="16" l="1"/>
  <c r="M87" i="16" l="1"/>
  <c r="M86" i="16"/>
  <c r="M85" i="16"/>
  <c r="N46" i="16"/>
  <c r="L46" i="16"/>
  <c r="K46" i="16"/>
  <c r="J46" i="16"/>
  <c r="I46" i="16"/>
  <c r="M46" i="16" l="1"/>
</calcChain>
</file>

<file path=xl/sharedStrings.xml><?xml version="1.0" encoding="utf-8"?>
<sst xmlns="http://schemas.openxmlformats.org/spreadsheetml/2006/main" count="207" uniqueCount="126">
  <si>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</si>
  <si>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</si>
  <si>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</si>
  <si>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</si>
  <si>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</si>
  <si>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</si>
  <si>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</si>
  <si>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</si>
  <si>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</si>
  <si>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</si>
  <si>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</si>
  <si>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</si>
  <si>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</si>
  <si>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</si>
  <si>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</si>
  <si>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</si>
  <si>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</si>
  <si>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</si>
  <si>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</si>
  <si>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</si>
  <si>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</si>
  <si>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</si>
  <si>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</si>
  <si>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</si>
  <si>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</si>
  <si>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</si>
  <si>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</si>
  <si>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</si>
  <si>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</si>
  <si>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</si>
  <si>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</si>
  <si>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</si>
  <si>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</si>
  <si>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</si>
  <si>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</si>
  <si>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</si>
  <si>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</si>
  <si>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진로</t>
    <phoneticPr fontId="7" type="noConversion"/>
  </si>
  <si>
    <t>체육1</t>
    <phoneticPr fontId="7" type="noConversion"/>
  </si>
  <si>
    <t>체육2</t>
    <phoneticPr fontId="7" type="noConversion"/>
  </si>
  <si>
    <t>융합</t>
    <phoneticPr fontId="7" type="noConversion"/>
  </si>
  <si>
    <t>음악</t>
    <phoneticPr fontId="7" type="noConversion"/>
  </si>
  <si>
    <t>미술</t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</si>
  <si>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</si>
  <si>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</si>
  <si>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</si>
  <si>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사회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</si>
  <si>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</si>
  <si>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</si>
  <si>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</si>
  <si>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생명과학</t>
    <phoneticPr fontId="7" type="noConversion"/>
  </si>
  <si>
    <t>지구과학</t>
    <phoneticPr fontId="7" type="noConversion"/>
  </si>
  <si>
    <t>법과 사회</t>
    <phoneticPr fontId="7" type="noConversion"/>
  </si>
  <si>
    <t>국어</t>
    <phoneticPr fontId="7" type="noConversion"/>
  </si>
  <si>
    <t>수학</t>
    <phoneticPr fontId="7" type="noConversion"/>
  </si>
  <si>
    <t>영어</t>
    <phoneticPr fontId="7" type="noConversion"/>
  </si>
  <si>
    <t>생물의 유전</t>
    <phoneticPr fontId="7" type="noConversion"/>
  </si>
  <si>
    <t>언어생활과 한자</t>
    <phoneticPr fontId="7" type="noConversion"/>
  </si>
  <si>
    <t>체육</t>
    <phoneticPr fontId="7" type="noConversion"/>
  </si>
  <si>
    <t>보건</t>
    <phoneticPr fontId="7" type="noConversion"/>
  </si>
  <si>
    <t>논술</t>
    <phoneticPr fontId="7" type="noConversion"/>
  </si>
  <si>
    <t>학교지정</t>
    <phoneticPr fontId="7" type="noConversion"/>
  </si>
  <si>
    <r>
      <t>기술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</rPr>
      <t>가정
/정보</t>
    </r>
    <phoneticPr fontId="7" type="noConversion"/>
  </si>
  <si>
    <r>
      <t>기술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</si>
  <si>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택2
(4)
8</t>
    <phoneticPr fontId="7" type="noConversion"/>
  </si>
  <si>
    <t>택5
(5)
25</t>
    <phoneticPr fontId="7" type="noConversion"/>
  </si>
  <si>
    <t>학생선택</t>
    <phoneticPr fontId="7" type="noConversion"/>
  </si>
  <si>
    <t>학교유형: 일반고</t>
    <phoneticPr fontId="7" type="noConversion"/>
  </si>
  <si>
    <t>( 영덕여자 )고등학교</t>
    <phoneticPr fontId="7" type="noConversion"/>
  </si>
  <si>
    <t>미적분Ⅰ</t>
    <phoneticPr fontId="7" type="noConversion"/>
  </si>
  <si>
    <t>독서와 작문</t>
    <phoneticPr fontId="7" type="noConversion"/>
  </si>
  <si>
    <t>화법과 언어</t>
    <phoneticPr fontId="7" type="noConversion"/>
  </si>
  <si>
    <t>스포츠 문화</t>
    <phoneticPr fontId="7" type="noConversion"/>
  </si>
  <si>
    <t>스포츠 과학</t>
    <phoneticPr fontId="7" type="noConversion"/>
  </si>
  <si>
    <t>스포츠 생활1</t>
    <phoneticPr fontId="7" type="noConversion"/>
  </si>
  <si>
    <t>스포츠 생활2</t>
    <phoneticPr fontId="7" type="noConversion"/>
  </si>
  <si>
    <t>확률과 통계</t>
    <phoneticPr fontId="7" type="noConversion"/>
  </si>
  <si>
    <t>영어 독해와 작문</t>
    <phoneticPr fontId="7" type="noConversion"/>
  </si>
  <si>
    <t>미술 창작</t>
    <phoneticPr fontId="7" type="noConversion"/>
  </si>
  <si>
    <t>국제 관계의 이해</t>
    <phoneticPr fontId="7" type="noConversion"/>
  </si>
  <si>
    <t>일반</t>
    <phoneticPr fontId="7" type="noConversion"/>
  </si>
  <si>
    <t>세계사</t>
    <phoneticPr fontId="7" type="noConversion"/>
  </si>
  <si>
    <t>융합</t>
    <phoneticPr fontId="7" type="noConversion"/>
  </si>
  <si>
    <t>진로</t>
    <phoneticPr fontId="7" type="noConversion"/>
  </si>
  <si>
    <t>한국지리 탐구</t>
    <phoneticPr fontId="7" type="noConversion"/>
  </si>
  <si>
    <t>동아시아 역사 기행</t>
    <phoneticPr fontId="7" type="noConversion"/>
  </si>
  <si>
    <t>윤리와 사상</t>
    <phoneticPr fontId="7" type="noConversion"/>
  </si>
  <si>
    <t>세포와 물질대사</t>
    <phoneticPr fontId="7" type="noConversion"/>
  </si>
  <si>
    <t>국어</t>
    <phoneticPr fontId="7" type="noConversion"/>
  </si>
  <si>
    <t>수학과제 탐구</t>
    <phoneticPr fontId="7" type="noConversion"/>
  </si>
  <si>
    <t>정치</t>
    <phoneticPr fontId="7" type="noConversion"/>
  </si>
  <si>
    <t>경제</t>
    <phoneticPr fontId="7" type="noConversion"/>
  </si>
  <si>
    <t>역학과 에너지</t>
    <phoneticPr fontId="7" type="noConversion"/>
  </si>
  <si>
    <t>전자기와 양자</t>
    <phoneticPr fontId="7" type="noConversion"/>
  </si>
  <si>
    <t>독서 토론과 글쓰기</t>
    <phoneticPr fontId="7" type="noConversion"/>
  </si>
  <si>
    <t>과학의 역사와 문화</t>
    <phoneticPr fontId="7" type="noConversion"/>
  </si>
  <si>
    <t>사회문제 탐구</t>
    <phoneticPr fontId="7" type="noConversion"/>
  </si>
  <si>
    <t>금융과 경제 생활</t>
    <phoneticPr fontId="7" type="noConversion"/>
  </si>
  <si>
    <t>예술</t>
    <phoneticPr fontId="7" type="noConversion"/>
  </si>
  <si>
    <t>영어 Ⅱ</t>
    <phoneticPr fontId="7" type="noConversion"/>
  </si>
  <si>
    <t>경제 수학</t>
    <phoneticPr fontId="7" type="noConversion"/>
  </si>
  <si>
    <t>세계시민과 지리</t>
    <phoneticPr fontId="7" type="noConversion"/>
  </si>
  <si>
    <t>택1
4</t>
    <phoneticPr fontId="7" type="noConversion"/>
  </si>
  <si>
    <t>문학과 영상</t>
    <phoneticPr fontId="7" type="noConversion"/>
  </si>
  <si>
    <t>주제 탐구 독서</t>
    <phoneticPr fontId="7" type="noConversion"/>
  </si>
  <si>
    <t>실용 통계</t>
    <phoneticPr fontId="7" type="noConversion"/>
  </si>
  <si>
    <t>영어 발표와 토론</t>
    <phoneticPr fontId="7" type="noConversion"/>
  </si>
  <si>
    <t>기후변화와 지속가능한 세계</t>
    <phoneticPr fontId="7" type="noConversion"/>
  </si>
  <si>
    <t>여행지리</t>
    <phoneticPr fontId="7" type="noConversion"/>
  </si>
  <si>
    <t>윤리문제 탐구</t>
    <phoneticPr fontId="7" type="noConversion"/>
  </si>
  <si>
    <t>기후변화와 환경생태</t>
    <phoneticPr fontId="7" type="noConversion"/>
  </si>
  <si>
    <t>융합과학탐구</t>
    <phoneticPr fontId="7" type="noConversion"/>
  </si>
  <si>
    <t>교육의 이해</t>
    <phoneticPr fontId="7" type="noConversion"/>
  </si>
  <si>
    <t>제2외국어/한문</t>
    <phoneticPr fontId="7" type="noConversion"/>
  </si>
  <si>
    <t>택2
(4)
8</t>
    <phoneticPr fontId="7" type="noConversion"/>
  </si>
  <si>
    <t>사회/과학</t>
    <phoneticPr fontId="7" type="noConversion"/>
  </si>
  <si>
    <t>사회/과학</t>
    <phoneticPr fontId="7" type="noConversion"/>
  </si>
  <si>
    <t>화학(온)</t>
    <phoneticPr fontId="7" type="noConversion"/>
  </si>
  <si>
    <t>일반</t>
    <phoneticPr fontId="7" type="noConversion"/>
  </si>
  <si>
    <t>물리학</t>
    <phoneticPr fontId="7" type="noConversion"/>
  </si>
  <si>
    <t>화학 반응의 세계(온)</t>
    <phoneticPr fontId="7" type="noConversion"/>
  </si>
  <si>
    <t>실생활 영어 회화</t>
    <phoneticPr fontId="7" type="noConversion"/>
  </si>
  <si>
    <t>인공지능 수학(온)</t>
    <phoneticPr fontId="7" type="noConversion"/>
  </si>
  <si>
    <t>2026학년도 입학생 3개년 교육과정 편성표</t>
    <phoneticPr fontId="7" type="noConversion"/>
  </si>
  <si>
    <t>음악 감상과 비평</t>
    <phoneticPr fontId="7" type="noConversion"/>
  </si>
  <si>
    <t>지구시스템과학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</si>
</sst>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3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Tahoma"/>
      <family val="3"/>
      <charset val="1"/>
    </font>
    <font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10"/>
      <color rgb="FF000000"/>
      <name val="맑은 고딕"/>
      <family val="3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86">
    <xf numFmtId="0" fontId="0" fillId="0" borderId="0" xfId="0"/>
    <xf numFmtId="0" fontId="8" fillId="0" borderId="0" xfId="0" applyFont="1"/>
    <xf numFmtId="0" fontId="6" fillId="0" borderId="1" xfId="0" quotePrefix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6" fillId="0" borderId="7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8"/>
  <sheetViews>
    <sheetView tabSelected="1" view="pageBreakPreview" zoomScaleNormal="130" zoomScaleSheetLayoutView="100" workbookViewId="0">
      <selection sqref="A1:N1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75" t="s">
        <v>123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24" customHeight="1" x14ac:dyDescent="0.3">
      <c r="A2" s="14" t="s">
        <v>67</v>
      </c>
      <c r="B2" s="5"/>
      <c r="C2" s="5"/>
      <c r="D2" s="5"/>
      <c r="E2" s="5"/>
      <c r="F2" s="5"/>
      <c r="G2" s="5"/>
      <c r="H2" s="5"/>
      <c r="I2" s="76" t="s">
        <v>68</v>
      </c>
      <c r="J2" s="76"/>
      <c r="K2" s="76"/>
      <c r="L2" s="76"/>
      <c r="M2" s="76"/>
      <c r="N2" s="76"/>
    </row>
    <row r="3" spans="1:14" ht="13.5" customHeight="1" x14ac:dyDescent="0.15">
      <c r="A3" s="77" t="s">
        <v>3</v>
      </c>
      <c r="B3" s="73" t="s">
        <v>6</v>
      </c>
      <c r="C3" s="80" t="s">
        <v>8</v>
      </c>
      <c r="D3" s="80" t="s">
        <v>7</v>
      </c>
      <c r="E3" s="80" t="s">
        <v>12</v>
      </c>
      <c r="F3" s="80" t="s">
        <v>13</v>
      </c>
      <c r="G3" s="73" t="s">
        <v>1</v>
      </c>
      <c r="H3" s="73"/>
      <c r="I3" s="73" t="s">
        <v>5</v>
      </c>
      <c r="J3" s="73"/>
      <c r="K3" s="73" t="s">
        <v>4</v>
      </c>
      <c r="L3" s="73"/>
      <c r="M3" s="80" t="s">
        <v>9</v>
      </c>
      <c r="N3" s="82" t="s">
        <v>14</v>
      </c>
    </row>
    <row r="4" spans="1:14" x14ac:dyDescent="0.15">
      <c r="A4" s="78"/>
      <c r="B4" s="73"/>
      <c r="C4" s="80"/>
      <c r="D4" s="80"/>
      <c r="E4" s="80"/>
      <c r="F4" s="80"/>
      <c r="G4" s="73" t="s">
        <v>0</v>
      </c>
      <c r="H4" s="73" t="s">
        <v>2</v>
      </c>
      <c r="I4" s="73" t="s">
        <v>0</v>
      </c>
      <c r="J4" s="73" t="s">
        <v>2</v>
      </c>
      <c r="K4" s="73" t="s">
        <v>0</v>
      </c>
      <c r="L4" s="73" t="s">
        <v>2</v>
      </c>
      <c r="M4" s="73"/>
      <c r="N4" s="83"/>
    </row>
    <row r="5" spans="1:14" ht="14.25" thickBot="1" x14ac:dyDescent="0.2">
      <c r="A5" s="79"/>
      <c r="B5" s="74"/>
      <c r="C5" s="81"/>
      <c r="D5" s="81"/>
      <c r="E5" s="81"/>
      <c r="F5" s="81"/>
      <c r="G5" s="74"/>
      <c r="H5" s="74"/>
      <c r="I5" s="74"/>
      <c r="J5" s="74"/>
      <c r="K5" s="74"/>
      <c r="L5" s="74"/>
      <c r="M5" s="74"/>
      <c r="N5" s="84"/>
    </row>
    <row r="6" spans="1:14" ht="17.25" customHeight="1" x14ac:dyDescent="0.15">
      <c r="A6" s="39" t="s">
        <v>61</v>
      </c>
      <c r="B6" s="64" t="s">
        <v>53</v>
      </c>
      <c r="C6" s="10" t="s">
        <v>18</v>
      </c>
      <c r="D6" s="10" t="s">
        <v>19</v>
      </c>
      <c r="E6" s="10">
        <v>4</v>
      </c>
      <c r="F6" s="10">
        <v>3</v>
      </c>
      <c r="G6" s="10">
        <v>3</v>
      </c>
      <c r="H6" s="10"/>
      <c r="I6" s="3"/>
      <c r="J6" s="10"/>
      <c r="K6" s="10"/>
      <c r="L6" s="10"/>
      <c r="M6" s="66">
        <f>SUM(G6:L10)</f>
        <v>19</v>
      </c>
      <c r="N6" s="67">
        <v>8</v>
      </c>
    </row>
    <row r="7" spans="1:14" ht="17.25" customHeight="1" x14ac:dyDescent="0.15">
      <c r="A7" s="40"/>
      <c r="B7" s="65"/>
      <c r="C7" s="8" t="s">
        <v>20</v>
      </c>
      <c r="D7" s="8" t="s">
        <v>19</v>
      </c>
      <c r="E7" s="8">
        <v>4</v>
      </c>
      <c r="F7" s="8">
        <v>3</v>
      </c>
      <c r="G7" s="8"/>
      <c r="H7" s="8">
        <v>3</v>
      </c>
      <c r="I7" s="8"/>
      <c r="J7" s="8"/>
      <c r="K7" s="8"/>
      <c r="L7" s="8"/>
      <c r="M7" s="50"/>
      <c r="N7" s="51"/>
    </row>
    <row r="8" spans="1:14" ht="17.25" customHeight="1" x14ac:dyDescent="0.15">
      <c r="A8" s="40"/>
      <c r="B8" s="65"/>
      <c r="C8" s="8" t="s">
        <v>21</v>
      </c>
      <c r="D8" s="8" t="s">
        <v>22</v>
      </c>
      <c r="E8" s="8">
        <v>4</v>
      </c>
      <c r="F8" s="8">
        <v>4</v>
      </c>
      <c r="G8" s="8"/>
      <c r="I8" s="8">
        <v>5</v>
      </c>
      <c r="J8" s="8"/>
      <c r="K8" s="8"/>
      <c r="L8" s="8"/>
      <c r="M8" s="50"/>
      <c r="N8" s="51"/>
    </row>
    <row r="9" spans="1:14" ht="17.25" customHeight="1" x14ac:dyDescent="0.15">
      <c r="A9" s="40"/>
      <c r="B9" s="65"/>
      <c r="C9" s="8" t="s">
        <v>71</v>
      </c>
      <c r="D9" s="8" t="s">
        <v>22</v>
      </c>
      <c r="E9" s="8">
        <v>4</v>
      </c>
      <c r="F9" s="8">
        <v>4</v>
      </c>
      <c r="G9" s="8"/>
      <c r="H9" s="8"/>
      <c r="I9" s="8"/>
      <c r="J9" s="8">
        <v>4</v>
      </c>
      <c r="K9" s="8"/>
      <c r="L9" s="8"/>
      <c r="M9" s="50"/>
      <c r="N9" s="51"/>
    </row>
    <row r="10" spans="1:14" ht="17.25" customHeight="1" x14ac:dyDescent="0.15">
      <c r="A10" s="40"/>
      <c r="B10" s="65"/>
      <c r="C10" s="8" t="s">
        <v>70</v>
      </c>
      <c r="D10" s="8" t="s">
        <v>22</v>
      </c>
      <c r="E10" s="8">
        <v>4</v>
      </c>
      <c r="F10" s="8">
        <v>4</v>
      </c>
      <c r="G10" s="8"/>
      <c r="H10" s="8"/>
      <c r="I10" s="8"/>
      <c r="J10" s="8"/>
      <c r="K10" s="8">
        <v>4</v>
      </c>
      <c r="L10" s="8"/>
      <c r="M10" s="50"/>
      <c r="N10" s="51"/>
    </row>
    <row r="11" spans="1:14" ht="17.25" customHeight="1" x14ac:dyDescent="0.15">
      <c r="A11" s="40"/>
      <c r="B11" s="65" t="s">
        <v>54</v>
      </c>
      <c r="C11" s="8" t="s">
        <v>23</v>
      </c>
      <c r="D11" s="8" t="s">
        <v>19</v>
      </c>
      <c r="E11" s="8">
        <v>4</v>
      </c>
      <c r="F11" s="8">
        <v>4</v>
      </c>
      <c r="G11" s="8">
        <v>4</v>
      </c>
      <c r="H11" s="8"/>
      <c r="I11" s="8"/>
      <c r="J11" s="8"/>
      <c r="K11" s="8"/>
      <c r="L11" s="8"/>
      <c r="M11" s="57">
        <f>SUM(G11:L15)</f>
        <v>21</v>
      </c>
      <c r="N11" s="51">
        <v>8</v>
      </c>
    </row>
    <row r="12" spans="1:14" ht="17.25" customHeight="1" x14ac:dyDescent="0.15">
      <c r="A12" s="40"/>
      <c r="B12" s="65"/>
      <c r="C12" s="8" t="s">
        <v>24</v>
      </c>
      <c r="D12" s="8" t="s">
        <v>19</v>
      </c>
      <c r="E12" s="8">
        <v>4</v>
      </c>
      <c r="F12" s="8">
        <v>4</v>
      </c>
      <c r="G12" s="8"/>
      <c r="H12" s="8">
        <v>4</v>
      </c>
      <c r="I12" s="4"/>
      <c r="J12" s="8"/>
      <c r="K12" s="8"/>
      <c r="L12" s="8"/>
      <c r="M12" s="57"/>
      <c r="N12" s="51"/>
    </row>
    <row r="13" spans="1:14" ht="17.25" customHeight="1" x14ac:dyDescent="0.15">
      <c r="A13" s="40"/>
      <c r="B13" s="65"/>
      <c r="C13" s="8" t="s">
        <v>25</v>
      </c>
      <c r="D13" s="8" t="s">
        <v>22</v>
      </c>
      <c r="E13" s="8">
        <v>4</v>
      </c>
      <c r="F13" s="8">
        <v>4</v>
      </c>
      <c r="G13" s="8"/>
      <c r="H13" s="8"/>
      <c r="I13" s="4">
        <v>5</v>
      </c>
      <c r="J13" s="8"/>
      <c r="K13" s="8"/>
      <c r="L13" s="8"/>
      <c r="M13" s="57"/>
      <c r="N13" s="51"/>
    </row>
    <row r="14" spans="1:14" ht="17.25" customHeight="1" x14ac:dyDescent="0.15">
      <c r="A14" s="40"/>
      <c r="B14" s="65"/>
      <c r="C14" s="8" t="s">
        <v>69</v>
      </c>
      <c r="D14" s="8" t="s">
        <v>22</v>
      </c>
      <c r="E14" s="8">
        <v>4</v>
      </c>
      <c r="F14" s="8">
        <v>4</v>
      </c>
      <c r="G14" s="8"/>
      <c r="H14" s="8"/>
      <c r="I14" s="8"/>
      <c r="J14" s="8">
        <v>4</v>
      </c>
      <c r="K14" s="8"/>
      <c r="L14" s="8"/>
      <c r="M14" s="57"/>
      <c r="N14" s="51"/>
    </row>
    <row r="15" spans="1:14" ht="17.25" customHeight="1" x14ac:dyDescent="0.15">
      <c r="A15" s="40"/>
      <c r="B15" s="65"/>
      <c r="C15" s="8" t="s">
        <v>76</v>
      </c>
      <c r="D15" s="8" t="s">
        <v>22</v>
      </c>
      <c r="E15" s="8">
        <v>4</v>
      </c>
      <c r="F15" s="8">
        <v>4</v>
      </c>
      <c r="G15" s="8"/>
      <c r="H15" s="8"/>
      <c r="I15" s="8"/>
      <c r="J15" s="8"/>
      <c r="K15" s="8">
        <v>4</v>
      </c>
      <c r="L15" s="8"/>
      <c r="M15" s="50"/>
      <c r="N15" s="51"/>
    </row>
    <row r="16" spans="1:14" ht="17.25" customHeight="1" x14ac:dyDescent="0.15">
      <c r="A16" s="40"/>
      <c r="B16" s="49" t="s">
        <v>55</v>
      </c>
      <c r="C16" s="8" t="s">
        <v>26</v>
      </c>
      <c r="D16" s="8" t="s">
        <v>19</v>
      </c>
      <c r="E16" s="8">
        <v>4</v>
      </c>
      <c r="F16" s="8">
        <v>3</v>
      </c>
      <c r="G16" s="8">
        <v>3</v>
      </c>
      <c r="H16" s="8"/>
      <c r="I16" s="8"/>
      <c r="J16" s="8"/>
      <c r="K16" s="8"/>
      <c r="L16" s="8"/>
      <c r="M16" s="57">
        <f>SUM(G16:L20)</f>
        <v>18</v>
      </c>
      <c r="N16" s="51">
        <v>8</v>
      </c>
    </row>
    <row r="17" spans="1:14" ht="17.25" customHeight="1" x14ac:dyDescent="0.15">
      <c r="A17" s="40"/>
      <c r="B17" s="49"/>
      <c r="C17" s="8" t="s">
        <v>27</v>
      </c>
      <c r="D17" s="8" t="s">
        <v>19</v>
      </c>
      <c r="E17" s="8">
        <v>4</v>
      </c>
      <c r="F17" s="8">
        <v>3</v>
      </c>
      <c r="G17" s="8"/>
      <c r="H17" s="8">
        <v>3</v>
      </c>
      <c r="I17" s="8"/>
      <c r="J17" s="8"/>
      <c r="K17" s="8"/>
      <c r="L17" s="8"/>
      <c r="M17" s="57"/>
      <c r="N17" s="51"/>
    </row>
    <row r="18" spans="1:14" ht="17.25" customHeight="1" x14ac:dyDescent="0.15">
      <c r="A18" s="40"/>
      <c r="B18" s="49"/>
      <c r="C18" s="8" t="s">
        <v>28</v>
      </c>
      <c r="D18" s="8" t="s">
        <v>22</v>
      </c>
      <c r="E18" s="8">
        <v>4</v>
      </c>
      <c r="F18" s="8">
        <v>4</v>
      </c>
      <c r="G18" s="8"/>
      <c r="H18" s="8"/>
      <c r="I18" s="8">
        <v>4</v>
      </c>
      <c r="J18" s="8"/>
      <c r="K18" s="8"/>
      <c r="L18" s="8"/>
      <c r="M18" s="57"/>
      <c r="N18" s="51"/>
    </row>
    <row r="19" spans="1:14" ht="17.25" customHeight="1" x14ac:dyDescent="0.15">
      <c r="A19" s="40"/>
      <c r="B19" s="49"/>
      <c r="C19" s="23" t="s">
        <v>77</v>
      </c>
      <c r="D19" s="8" t="s">
        <v>22</v>
      </c>
      <c r="E19" s="8">
        <v>4</v>
      </c>
      <c r="F19" s="8">
        <v>4</v>
      </c>
      <c r="G19" s="8"/>
      <c r="H19" s="8"/>
      <c r="I19" s="9"/>
      <c r="J19" s="8">
        <v>4</v>
      </c>
      <c r="K19" s="8"/>
      <c r="L19" s="8"/>
      <c r="M19" s="57"/>
      <c r="N19" s="51"/>
    </row>
    <row r="20" spans="1:14" ht="17.25" customHeight="1" x14ac:dyDescent="0.15">
      <c r="A20" s="40"/>
      <c r="B20" s="49"/>
      <c r="C20" s="23" t="s">
        <v>99</v>
      </c>
      <c r="D20" s="8" t="s">
        <v>22</v>
      </c>
      <c r="E20" s="8">
        <v>4</v>
      </c>
      <c r="F20" s="8">
        <v>4</v>
      </c>
      <c r="G20" s="8"/>
      <c r="H20" s="8"/>
      <c r="I20" s="9"/>
      <c r="J20" s="8"/>
      <c r="K20" s="8">
        <v>4</v>
      </c>
      <c r="L20" s="8"/>
      <c r="M20" s="50"/>
      <c r="N20" s="51"/>
    </row>
    <row r="21" spans="1:14" ht="17.25" customHeight="1" x14ac:dyDescent="0.15">
      <c r="A21" s="40"/>
      <c r="B21" s="68" t="s">
        <v>46</v>
      </c>
      <c r="C21" s="8" t="s">
        <v>29</v>
      </c>
      <c r="D21" s="8" t="s">
        <v>19</v>
      </c>
      <c r="E21" s="8">
        <v>3</v>
      </c>
      <c r="F21" s="8">
        <v>3</v>
      </c>
      <c r="G21" s="8">
        <v>3</v>
      </c>
      <c r="H21" s="8"/>
      <c r="I21" s="8"/>
      <c r="J21" s="2"/>
      <c r="K21" s="8"/>
      <c r="L21" s="8"/>
      <c r="M21" s="48">
        <f>SUM(G21:L22)</f>
        <v>6</v>
      </c>
      <c r="N21" s="71">
        <v>6</v>
      </c>
    </row>
    <row r="22" spans="1:14" ht="17.25" customHeight="1" x14ac:dyDescent="0.15">
      <c r="A22" s="40"/>
      <c r="B22" s="69"/>
      <c r="C22" s="8" t="s">
        <v>30</v>
      </c>
      <c r="D22" s="8" t="s">
        <v>19</v>
      </c>
      <c r="E22" s="8">
        <v>3</v>
      </c>
      <c r="F22" s="8">
        <v>3</v>
      </c>
      <c r="G22" s="8"/>
      <c r="H22" s="8">
        <v>3</v>
      </c>
      <c r="I22" s="8"/>
      <c r="J22" s="2"/>
      <c r="K22" s="8"/>
      <c r="L22" s="8"/>
      <c r="M22" s="47"/>
      <c r="N22" s="72"/>
    </row>
    <row r="23" spans="1:14" ht="17.25" customHeight="1" x14ac:dyDescent="0.15">
      <c r="A23" s="40"/>
      <c r="B23" s="69"/>
      <c r="C23" s="8" t="s">
        <v>31</v>
      </c>
      <c r="D23" s="8" t="s">
        <v>19</v>
      </c>
      <c r="E23" s="8">
        <v>4</v>
      </c>
      <c r="F23" s="8">
        <v>4</v>
      </c>
      <c r="G23" s="8">
        <v>4</v>
      </c>
      <c r="H23" s="8"/>
      <c r="I23" s="8"/>
      <c r="J23" s="8"/>
      <c r="K23" s="2"/>
      <c r="L23" s="2"/>
      <c r="M23" s="48">
        <f>SUM(G23:L24)</f>
        <v>8</v>
      </c>
      <c r="N23" s="51">
        <v>8</v>
      </c>
    </row>
    <row r="24" spans="1:14" ht="17.25" customHeight="1" x14ac:dyDescent="0.15">
      <c r="A24" s="40"/>
      <c r="B24" s="70"/>
      <c r="C24" s="8" t="s">
        <v>32</v>
      </c>
      <c r="D24" s="8" t="s">
        <v>19</v>
      </c>
      <c r="E24" s="8">
        <v>4</v>
      </c>
      <c r="F24" s="8">
        <v>4</v>
      </c>
      <c r="G24" s="8"/>
      <c r="H24" s="8">
        <v>4</v>
      </c>
      <c r="I24" s="8"/>
      <c r="J24" s="8"/>
      <c r="K24" s="2"/>
      <c r="L24" s="2"/>
      <c r="M24" s="47"/>
      <c r="N24" s="51"/>
    </row>
    <row r="25" spans="1:14" ht="17.25" customHeight="1" x14ac:dyDescent="0.15">
      <c r="A25" s="40"/>
      <c r="B25" s="65" t="s">
        <v>49</v>
      </c>
      <c r="C25" s="8" t="s">
        <v>33</v>
      </c>
      <c r="D25" s="8" t="s">
        <v>19</v>
      </c>
      <c r="E25" s="8">
        <v>4</v>
      </c>
      <c r="F25" s="8">
        <v>4</v>
      </c>
      <c r="G25" s="8">
        <v>4</v>
      </c>
      <c r="H25" s="8"/>
      <c r="I25" s="8"/>
      <c r="J25" s="8"/>
      <c r="K25" s="2"/>
      <c r="L25" s="2"/>
      <c r="M25" s="57">
        <f>SUM(G25:L28)</f>
        <v>10</v>
      </c>
      <c r="N25" s="51">
        <v>10</v>
      </c>
    </row>
    <row r="26" spans="1:14" ht="17.25" customHeight="1" x14ac:dyDescent="0.15">
      <c r="A26" s="40"/>
      <c r="B26" s="65"/>
      <c r="C26" s="8" t="s">
        <v>34</v>
      </c>
      <c r="D26" s="8" t="s">
        <v>19</v>
      </c>
      <c r="E26" s="8">
        <v>4</v>
      </c>
      <c r="F26" s="8">
        <v>4</v>
      </c>
      <c r="G26" s="8"/>
      <c r="H26" s="8">
        <v>4</v>
      </c>
      <c r="I26" s="8"/>
      <c r="J26" s="8"/>
      <c r="K26" s="2"/>
      <c r="L26" s="2"/>
      <c r="M26" s="57"/>
      <c r="N26" s="51"/>
    </row>
    <row r="27" spans="1:14" ht="17.25" customHeight="1" x14ac:dyDescent="0.15">
      <c r="A27" s="40"/>
      <c r="B27" s="65"/>
      <c r="C27" s="8" t="s">
        <v>35</v>
      </c>
      <c r="D27" s="8" t="s">
        <v>19</v>
      </c>
      <c r="E27" s="8">
        <v>1</v>
      </c>
      <c r="F27" s="8">
        <v>1</v>
      </c>
      <c r="G27" s="8">
        <v>1</v>
      </c>
      <c r="H27" s="8"/>
      <c r="I27" s="8"/>
      <c r="J27" s="8"/>
      <c r="K27" s="2"/>
      <c r="L27" s="2"/>
      <c r="M27" s="57"/>
      <c r="N27" s="51"/>
    </row>
    <row r="28" spans="1:14" ht="17.25" customHeight="1" x14ac:dyDescent="0.15">
      <c r="A28" s="40"/>
      <c r="B28" s="65"/>
      <c r="C28" s="8" t="s">
        <v>36</v>
      </c>
      <c r="D28" s="8" t="s">
        <v>19</v>
      </c>
      <c r="E28" s="8">
        <v>1</v>
      </c>
      <c r="F28" s="8">
        <v>1</v>
      </c>
      <c r="G28" s="8"/>
      <c r="H28" s="8">
        <v>1</v>
      </c>
      <c r="I28" s="8"/>
      <c r="J28" s="8"/>
      <c r="K28" s="8"/>
      <c r="L28" s="8"/>
      <c r="M28" s="50"/>
      <c r="N28" s="51"/>
    </row>
    <row r="29" spans="1:14" ht="17.25" customHeight="1" x14ac:dyDescent="0.15">
      <c r="A29" s="40"/>
      <c r="B29" s="49" t="s">
        <v>58</v>
      </c>
      <c r="C29" s="8" t="s">
        <v>38</v>
      </c>
      <c r="D29" s="8" t="s">
        <v>22</v>
      </c>
      <c r="E29" s="8">
        <v>3</v>
      </c>
      <c r="F29" s="8">
        <v>2</v>
      </c>
      <c r="G29" s="8">
        <v>2</v>
      </c>
      <c r="H29" s="8"/>
      <c r="I29" s="8"/>
      <c r="J29" s="8"/>
      <c r="K29" s="8"/>
      <c r="L29" s="8"/>
      <c r="M29" s="50">
        <f>SUM(G29:L34)</f>
        <v>12</v>
      </c>
      <c r="N29" s="51">
        <v>10</v>
      </c>
    </row>
    <row r="30" spans="1:14" ht="17.25" customHeight="1" x14ac:dyDescent="0.15">
      <c r="A30" s="40"/>
      <c r="B30" s="49"/>
      <c r="C30" s="8" t="s">
        <v>39</v>
      </c>
      <c r="D30" s="8" t="s">
        <v>22</v>
      </c>
      <c r="E30" s="8">
        <v>3</v>
      </c>
      <c r="F30" s="8">
        <v>2</v>
      </c>
      <c r="G30" s="8"/>
      <c r="H30" s="8">
        <v>2</v>
      </c>
      <c r="I30" s="8"/>
      <c r="J30" s="8"/>
      <c r="K30" s="8"/>
      <c r="L30" s="8"/>
      <c r="M30" s="50"/>
      <c r="N30" s="51"/>
    </row>
    <row r="31" spans="1:14" ht="17.25" customHeight="1" x14ac:dyDescent="0.15">
      <c r="A31" s="40"/>
      <c r="B31" s="49"/>
      <c r="C31" s="8" t="s">
        <v>72</v>
      </c>
      <c r="D31" s="8" t="s">
        <v>37</v>
      </c>
      <c r="E31" s="8">
        <v>2</v>
      </c>
      <c r="F31" s="8">
        <v>2</v>
      </c>
      <c r="G31" s="8"/>
      <c r="H31" s="8"/>
      <c r="I31" s="8">
        <v>2</v>
      </c>
      <c r="J31" s="8"/>
      <c r="K31" s="8"/>
      <c r="L31" s="8"/>
      <c r="M31" s="50"/>
      <c r="N31" s="51"/>
    </row>
    <row r="32" spans="1:14" ht="17.25" customHeight="1" x14ac:dyDescent="0.15">
      <c r="A32" s="40"/>
      <c r="B32" s="49"/>
      <c r="C32" s="8" t="s">
        <v>73</v>
      </c>
      <c r="D32" s="8" t="s">
        <v>37</v>
      </c>
      <c r="E32" s="8">
        <v>2</v>
      </c>
      <c r="F32" s="8">
        <v>2</v>
      </c>
      <c r="G32" s="8"/>
      <c r="H32" s="8"/>
      <c r="I32" s="8"/>
      <c r="J32" s="8">
        <v>2</v>
      </c>
      <c r="K32" s="8"/>
      <c r="L32" s="8"/>
      <c r="M32" s="50"/>
      <c r="N32" s="51"/>
    </row>
    <row r="33" spans="1:14" ht="17.25" customHeight="1" x14ac:dyDescent="0.15">
      <c r="A33" s="40"/>
      <c r="B33" s="49"/>
      <c r="C33" s="8" t="s">
        <v>74</v>
      </c>
      <c r="D33" s="8" t="s">
        <v>40</v>
      </c>
      <c r="E33" s="8">
        <v>3</v>
      </c>
      <c r="F33" s="8">
        <v>2</v>
      </c>
      <c r="G33" s="8"/>
      <c r="H33" s="8"/>
      <c r="I33" s="8"/>
      <c r="J33" s="8"/>
      <c r="K33" s="8">
        <v>2</v>
      </c>
      <c r="L33" s="8"/>
      <c r="M33" s="50"/>
      <c r="N33" s="51"/>
    </row>
    <row r="34" spans="1:14" ht="17.25" customHeight="1" x14ac:dyDescent="0.15">
      <c r="A34" s="40"/>
      <c r="B34" s="49"/>
      <c r="C34" s="8" t="s">
        <v>75</v>
      </c>
      <c r="D34" s="8" t="s">
        <v>40</v>
      </c>
      <c r="E34" s="8">
        <v>3</v>
      </c>
      <c r="F34" s="8">
        <v>2</v>
      </c>
      <c r="G34" s="8"/>
      <c r="H34" s="8"/>
      <c r="I34" s="8"/>
      <c r="J34" s="8"/>
      <c r="K34" s="8"/>
      <c r="L34" s="8">
        <v>2</v>
      </c>
      <c r="M34" s="50"/>
      <c r="N34" s="51"/>
    </row>
    <row r="35" spans="1:14" ht="17.25" customHeight="1" x14ac:dyDescent="0.15">
      <c r="A35" s="40"/>
      <c r="B35" s="49" t="s">
        <v>98</v>
      </c>
      <c r="C35" s="8" t="s">
        <v>42</v>
      </c>
      <c r="D35" s="8" t="s">
        <v>22</v>
      </c>
      <c r="E35" s="8">
        <v>3</v>
      </c>
      <c r="F35" s="8">
        <v>3</v>
      </c>
      <c r="G35" s="8">
        <v>3</v>
      </c>
      <c r="H35" s="12"/>
      <c r="I35" s="8"/>
      <c r="J35" s="8"/>
      <c r="K35" s="8"/>
      <c r="L35" s="8"/>
      <c r="M35" s="57">
        <f>SUM(G35:L38)</f>
        <v>10</v>
      </c>
      <c r="N35" s="58">
        <v>10</v>
      </c>
    </row>
    <row r="36" spans="1:14" ht="17.25" customHeight="1" x14ac:dyDescent="0.15">
      <c r="A36" s="40"/>
      <c r="B36" s="49"/>
      <c r="C36" s="8" t="s">
        <v>41</v>
      </c>
      <c r="D36" s="8" t="s">
        <v>22</v>
      </c>
      <c r="E36" s="8">
        <v>3</v>
      </c>
      <c r="F36" s="8">
        <v>2</v>
      </c>
      <c r="G36" s="8"/>
      <c r="H36" s="8">
        <v>2</v>
      </c>
      <c r="I36" s="8"/>
      <c r="J36" s="8"/>
      <c r="K36" s="8"/>
      <c r="L36" s="8"/>
      <c r="M36" s="57"/>
      <c r="N36" s="58"/>
    </row>
    <row r="37" spans="1:14" ht="17.25" customHeight="1" x14ac:dyDescent="0.15">
      <c r="A37" s="40"/>
      <c r="B37" s="49"/>
      <c r="C37" s="8" t="s">
        <v>78</v>
      </c>
      <c r="D37" s="8" t="s">
        <v>37</v>
      </c>
      <c r="E37" s="8">
        <v>3</v>
      </c>
      <c r="F37" s="8">
        <v>3</v>
      </c>
      <c r="G37" s="12"/>
      <c r="H37" s="8"/>
      <c r="I37" s="8">
        <v>3</v>
      </c>
      <c r="J37" s="8"/>
      <c r="K37" s="8"/>
      <c r="L37" s="8"/>
      <c r="M37" s="57"/>
      <c r="N37" s="58"/>
    </row>
    <row r="38" spans="1:14" ht="17.25" customHeight="1" x14ac:dyDescent="0.15">
      <c r="A38" s="40"/>
      <c r="B38" s="49"/>
      <c r="C38" s="8" t="s">
        <v>124</v>
      </c>
      <c r="D38" s="8" t="s">
        <v>37</v>
      </c>
      <c r="E38" s="8">
        <v>3</v>
      </c>
      <c r="F38" s="8">
        <v>2</v>
      </c>
      <c r="G38" s="12"/>
      <c r="H38" s="8"/>
      <c r="I38" s="8"/>
      <c r="J38" s="8">
        <v>2</v>
      </c>
      <c r="K38" s="8"/>
      <c r="L38" s="8"/>
      <c r="M38" s="57"/>
      <c r="N38" s="58"/>
    </row>
    <row r="39" spans="1:14" ht="17.25" customHeight="1" x14ac:dyDescent="0.15">
      <c r="A39" s="40"/>
      <c r="B39" s="52" t="s">
        <v>62</v>
      </c>
      <c r="C39" s="8" t="s">
        <v>43</v>
      </c>
      <c r="D39" s="8" t="s">
        <v>22</v>
      </c>
      <c r="E39" s="8">
        <v>4</v>
      </c>
      <c r="F39" s="8">
        <v>3</v>
      </c>
      <c r="G39" s="12"/>
      <c r="H39" s="8"/>
      <c r="I39" s="8"/>
      <c r="J39" s="8">
        <v>3</v>
      </c>
      <c r="K39" s="8"/>
      <c r="L39" s="8"/>
      <c r="M39" s="59">
        <f>SUM(G39:L45)</f>
        <v>17</v>
      </c>
      <c r="N39" s="61">
        <v>16</v>
      </c>
    </row>
    <row r="40" spans="1:14" ht="17.25" customHeight="1" x14ac:dyDescent="0.15">
      <c r="A40" s="40"/>
      <c r="B40" s="53"/>
      <c r="C40" s="9" t="s">
        <v>63</v>
      </c>
      <c r="D40" s="8" t="s">
        <v>22</v>
      </c>
      <c r="E40" s="8">
        <v>4</v>
      </c>
      <c r="F40" s="8">
        <v>3</v>
      </c>
      <c r="G40" s="8"/>
      <c r="H40" s="8">
        <v>3</v>
      </c>
      <c r="I40" s="8"/>
      <c r="J40" s="8"/>
      <c r="K40" s="8"/>
      <c r="L40" s="8"/>
      <c r="M40" s="60"/>
      <c r="N40" s="62"/>
    </row>
    <row r="41" spans="1:14" ht="17.25" customHeight="1" x14ac:dyDescent="0.15">
      <c r="A41" s="40"/>
      <c r="B41" s="25" t="s">
        <v>113</v>
      </c>
      <c r="C41" s="9" t="s">
        <v>57</v>
      </c>
      <c r="D41" s="8" t="s">
        <v>40</v>
      </c>
      <c r="E41" s="8">
        <v>4</v>
      </c>
      <c r="F41" s="8">
        <v>3</v>
      </c>
      <c r="G41" s="8"/>
      <c r="H41" s="8"/>
      <c r="I41" s="8"/>
      <c r="J41" s="8"/>
      <c r="K41" s="8">
        <v>3</v>
      </c>
      <c r="L41" s="8"/>
      <c r="M41" s="60"/>
      <c r="N41" s="62"/>
    </row>
    <row r="42" spans="1:14" ht="17.25" customHeight="1" x14ac:dyDescent="0.15">
      <c r="A42" s="40"/>
      <c r="B42" s="52" t="s">
        <v>44</v>
      </c>
      <c r="C42" s="9" t="s">
        <v>45</v>
      </c>
      <c r="D42" s="8" t="s">
        <v>22</v>
      </c>
      <c r="E42" s="8">
        <v>3</v>
      </c>
      <c r="F42" s="8">
        <v>2</v>
      </c>
      <c r="G42" s="8">
        <v>2</v>
      </c>
      <c r="H42" s="12"/>
      <c r="I42" s="8"/>
      <c r="J42" s="8"/>
      <c r="K42" s="8"/>
      <c r="L42" s="8"/>
      <c r="M42" s="60"/>
      <c r="N42" s="62"/>
    </row>
    <row r="43" spans="1:14" ht="17.25" customHeight="1" x14ac:dyDescent="0.15">
      <c r="A43" s="40"/>
      <c r="B43" s="63"/>
      <c r="C43" s="9" t="s">
        <v>112</v>
      </c>
      <c r="D43" s="8" t="s">
        <v>37</v>
      </c>
      <c r="E43" s="8">
        <v>3</v>
      </c>
      <c r="F43" s="8">
        <v>2</v>
      </c>
      <c r="G43" s="8"/>
      <c r="H43" s="12"/>
      <c r="I43" s="8">
        <v>2</v>
      </c>
      <c r="J43" s="8"/>
      <c r="K43" s="8"/>
      <c r="L43" s="8"/>
      <c r="M43" s="60"/>
      <c r="N43" s="62"/>
    </row>
    <row r="44" spans="1:14" ht="17.25" customHeight="1" x14ac:dyDescent="0.15">
      <c r="A44" s="40"/>
      <c r="B44" s="63"/>
      <c r="C44" s="9" t="s">
        <v>59</v>
      </c>
      <c r="D44" s="8" t="s">
        <v>37</v>
      </c>
      <c r="E44" s="8">
        <v>3</v>
      </c>
      <c r="F44" s="8">
        <v>2</v>
      </c>
      <c r="G44" s="8"/>
      <c r="H44" s="12"/>
      <c r="I44" s="8"/>
      <c r="J44" s="8">
        <v>2</v>
      </c>
      <c r="K44" s="8"/>
      <c r="L44" s="8"/>
      <c r="M44" s="60"/>
      <c r="N44" s="62"/>
    </row>
    <row r="45" spans="1:14" ht="17.25" customHeight="1" x14ac:dyDescent="0.15">
      <c r="A45" s="40"/>
      <c r="B45" s="63"/>
      <c r="C45" s="9" t="s">
        <v>60</v>
      </c>
      <c r="D45" s="8" t="s">
        <v>40</v>
      </c>
      <c r="E45" s="8">
        <v>3</v>
      </c>
      <c r="F45" s="8">
        <v>2</v>
      </c>
      <c r="G45" s="8"/>
      <c r="H45" s="12"/>
      <c r="I45" s="8"/>
      <c r="J45" s="8"/>
      <c r="K45" s="8"/>
      <c r="L45" s="8">
        <v>2</v>
      </c>
      <c r="M45" s="60"/>
      <c r="N45" s="62"/>
    </row>
    <row r="46" spans="1:14" ht="17.25" customHeight="1" thickBot="1" x14ac:dyDescent="0.2">
      <c r="A46" s="11"/>
      <c r="B46" s="54" t="s">
        <v>11</v>
      </c>
      <c r="C46" s="55"/>
      <c r="D46" s="55"/>
      <c r="E46" s="55"/>
      <c r="F46" s="56"/>
      <c r="G46" s="7">
        <f t="shared" ref="G46:N46" si="0">SUM(G6:G45)</f>
        <v>29</v>
      </c>
      <c r="H46" s="7">
        <f t="shared" si="0"/>
        <v>29</v>
      </c>
      <c r="I46" s="7">
        <f t="shared" si="0"/>
        <v>21</v>
      </c>
      <c r="J46" s="7">
        <f t="shared" si="0"/>
        <v>21</v>
      </c>
      <c r="K46" s="7">
        <f t="shared" si="0"/>
        <v>17</v>
      </c>
      <c r="L46" s="7">
        <f t="shared" si="0"/>
        <v>4</v>
      </c>
      <c r="M46" s="7">
        <f t="shared" si="0"/>
        <v>121</v>
      </c>
      <c r="N46" s="21">
        <f t="shared" si="0"/>
        <v>84</v>
      </c>
    </row>
    <row r="47" spans="1:14" ht="17.25" customHeight="1" x14ac:dyDescent="0.15">
      <c r="A47" s="39" t="s">
        <v>66</v>
      </c>
      <c r="B47" s="85" t="s">
        <v>115</v>
      </c>
      <c r="C47" s="17" t="s">
        <v>47</v>
      </c>
      <c r="D47" s="17" t="s">
        <v>22</v>
      </c>
      <c r="E47" s="17">
        <v>4</v>
      </c>
      <c r="F47" s="16">
        <v>4</v>
      </c>
      <c r="G47" s="17"/>
      <c r="H47" s="17"/>
      <c r="I47" s="29" t="s">
        <v>64</v>
      </c>
      <c r="J47" s="17"/>
      <c r="K47" s="17"/>
      <c r="L47" s="17"/>
      <c r="M47" s="45">
        <v>8</v>
      </c>
      <c r="N47" s="26"/>
    </row>
    <row r="48" spans="1:14" ht="17.25" customHeight="1" x14ac:dyDescent="0.15">
      <c r="A48" s="40"/>
      <c r="B48" s="43"/>
      <c r="C48" s="17" t="s">
        <v>81</v>
      </c>
      <c r="D48" s="17" t="s">
        <v>80</v>
      </c>
      <c r="E48" s="17">
        <v>4</v>
      </c>
      <c r="F48" s="16">
        <v>4</v>
      </c>
      <c r="G48" s="17"/>
      <c r="H48" s="17"/>
      <c r="I48" s="30"/>
      <c r="J48" s="17"/>
      <c r="K48" s="17"/>
      <c r="L48" s="17"/>
      <c r="M48" s="46"/>
      <c r="N48" s="27"/>
    </row>
    <row r="49" spans="1:14" ht="17.25" customHeight="1" x14ac:dyDescent="0.15">
      <c r="A49" s="40"/>
      <c r="B49" s="43"/>
      <c r="C49" s="17" t="s">
        <v>101</v>
      </c>
      <c r="D49" s="17" t="s">
        <v>22</v>
      </c>
      <c r="E49" s="17">
        <v>4</v>
      </c>
      <c r="F49" s="16">
        <v>4</v>
      </c>
      <c r="G49" s="17"/>
      <c r="H49" s="17"/>
      <c r="I49" s="30"/>
      <c r="J49" s="17"/>
      <c r="K49" s="17"/>
      <c r="L49" s="17"/>
      <c r="M49" s="46"/>
      <c r="N49" s="27"/>
    </row>
    <row r="50" spans="1:14" ht="17.25" customHeight="1" x14ac:dyDescent="0.15">
      <c r="A50" s="40"/>
      <c r="B50" s="43"/>
      <c r="C50" s="17" t="s">
        <v>119</v>
      </c>
      <c r="D50" s="17" t="s">
        <v>22</v>
      </c>
      <c r="E50" s="17">
        <v>4</v>
      </c>
      <c r="F50" s="16">
        <v>4</v>
      </c>
      <c r="G50" s="17"/>
      <c r="H50" s="17"/>
      <c r="I50" s="30"/>
      <c r="J50" s="17"/>
      <c r="K50" s="17"/>
      <c r="L50" s="17"/>
      <c r="M50" s="46"/>
      <c r="N50" s="27"/>
    </row>
    <row r="51" spans="1:14" ht="17.25" customHeight="1" x14ac:dyDescent="0.15">
      <c r="A51" s="40"/>
      <c r="B51" s="44"/>
      <c r="C51" s="19" t="s">
        <v>50</v>
      </c>
      <c r="D51" s="19" t="s">
        <v>22</v>
      </c>
      <c r="E51" s="19">
        <v>4</v>
      </c>
      <c r="F51" s="16">
        <v>4</v>
      </c>
      <c r="G51" s="17"/>
      <c r="H51" s="17"/>
      <c r="I51" s="31"/>
      <c r="J51" s="17"/>
      <c r="K51" s="17"/>
      <c r="L51" s="17"/>
      <c r="M51" s="47"/>
      <c r="N51" s="27"/>
    </row>
    <row r="52" spans="1:14" ht="17.25" customHeight="1" x14ac:dyDescent="0.15">
      <c r="A52" s="40"/>
      <c r="B52" s="42" t="s">
        <v>116</v>
      </c>
      <c r="C52" s="19" t="s">
        <v>85</v>
      </c>
      <c r="D52" s="19" t="s">
        <v>37</v>
      </c>
      <c r="E52" s="19">
        <v>4</v>
      </c>
      <c r="F52" s="18">
        <v>4</v>
      </c>
      <c r="G52" s="19"/>
      <c r="H52" s="19"/>
      <c r="I52" s="18"/>
      <c r="J52" s="32" t="s">
        <v>114</v>
      </c>
      <c r="K52" s="19"/>
      <c r="L52" s="19"/>
      <c r="M52" s="48">
        <v>8</v>
      </c>
      <c r="N52" s="27"/>
    </row>
    <row r="53" spans="1:14" ht="17.25" customHeight="1" x14ac:dyDescent="0.15">
      <c r="A53" s="40"/>
      <c r="B53" s="43"/>
      <c r="C53" s="19" t="s">
        <v>48</v>
      </c>
      <c r="D53" s="19" t="s">
        <v>22</v>
      </c>
      <c r="E53" s="19">
        <v>4</v>
      </c>
      <c r="F53" s="16">
        <v>4</v>
      </c>
      <c r="G53" s="17"/>
      <c r="H53" s="17"/>
      <c r="I53" s="18"/>
      <c r="J53" s="30"/>
      <c r="K53" s="17"/>
      <c r="L53" s="17"/>
      <c r="M53" s="46"/>
      <c r="N53" s="27"/>
    </row>
    <row r="54" spans="1:14" ht="17.25" customHeight="1" x14ac:dyDescent="0.15">
      <c r="A54" s="40"/>
      <c r="B54" s="43"/>
      <c r="C54" s="19" t="s">
        <v>84</v>
      </c>
      <c r="D54" s="19" t="s">
        <v>37</v>
      </c>
      <c r="E54" s="19">
        <v>4</v>
      </c>
      <c r="F54" s="16">
        <v>4</v>
      </c>
      <c r="G54" s="17"/>
      <c r="H54" s="17"/>
      <c r="I54" s="18"/>
      <c r="J54" s="30"/>
      <c r="K54" s="17"/>
      <c r="L54" s="17"/>
      <c r="M54" s="46"/>
      <c r="N54" s="27"/>
    </row>
    <row r="55" spans="1:14" ht="17.25" customHeight="1" x14ac:dyDescent="0.15">
      <c r="A55" s="40"/>
      <c r="B55" s="43"/>
      <c r="C55" s="24" t="s">
        <v>117</v>
      </c>
      <c r="D55" s="24" t="s">
        <v>118</v>
      </c>
      <c r="E55" s="24">
        <v>4</v>
      </c>
      <c r="F55" s="16">
        <v>4</v>
      </c>
      <c r="G55" s="17"/>
      <c r="H55" s="17"/>
      <c r="I55" s="18"/>
      <c r="J55" s="30"/>
      <c r="K55" s="17"/>
      <c r="L55" s="17"/>
      <c r="M55" s="46"/>
      <c r="N55" s="27"/>
    </row>
    <row r="56" spans="1:14" ht="17.25" customHeight="1" x14ac:dyDescent="0.15">
      <c r="A56" s="40"/>
      <c r="B56" s="43"/>
      <c r="C56" s="24" t="s">
        <v>51</v>
      </c>
      <c r="D56" s="24" t="s">
        <v>22</v>
      </c>
      <c r="E56" s="24">
        <v>4</v>
      </c>
      <c r="F56" s="16">
        <v>4</v>
      </c>
      <c r="G56" s="17"/>
      <c r="H56" s="17"/>
      <c r="I56" s="18"/>
      <c r="J56" s="30"/>
      <c r="K56" s="17"/>
      <c r="L56" s="17"/>
      <c r="M56" s="46"/>
      <c r="N56" s="27"/>
    </row>
    <row r="57" spans="1:14" ht="17.25" customHeight="1" x14ac:dyDescent="0.15">
      <c r="A57" s="40"/>
      <c r="B57" s="43"/>
      <c r="C57" s="24" t="s">
        <v>87</v>
      </c>
      <c r="D57" s="24" t="s">
        <v>37</v>
      </c>
      <c r="E57" s="24">
        <v>4</v>
      </c>
      <c r="F57" s="18">
        <v>4</v>
      </c>
      <c r="G57" s="19"/>
      <c r="H57" s="19"/>
      <c r="I57" s="18"/>
      <c r="J57" s="30"/>
      <c r="K57" s="19"/>
      <c r="L57" s="19"/>
      <c r="M57" s="46"/>
      <c r="N57" s="27"/>
    </row>
    <row r="58" spans="1:14" ht="17.25" customHeight="1" x14ac:dyDescent="0.15">
      <c r="A58" s="40"/>
      <c r="B58" s="44"/>
      <c r="C58" s="24" t="s">
        <v>92</v>
      </c>
      <c r="D58" s="24" t="s">
        <v>37</v>
      </c>
      <c r="E58" s="24">
        <v>4</v>
      </c>
      <c r="F58" s="18">
        <v>4</v>
      </c>
      <c r="G58" s="19"/>
      <c r="H58" s="19"/>
      <c r="I58" s="18"/>
      <c r="J58" s="31"/>
      <c r="K58" s="19"/>
      <c r="L58" s="19"/>
      <c r="M58" s="47"/>
      <c r="N58" s="27"/>
    </row>
    <row r="59" spans="1:14" ht="17.25" customHeight="1" x14ac:dyDescent="0.15">
      <c r="A59" s="40"/>
      <c r="B59" s="42" t="s">
        <v>54</v>
      </c>
      <c r="C59" s="19" t="s">
        <v>100</v>
      </c>
      <c r="D59" s="19" t="s">
        <v>37</v>
      </c>
      <c r="E59" s="19">
        <v>4</v>
      </c>
      <c r="F59" s="18">
        <v>4</v>
      </c>
      <c r="G59" s="19"/>
      <c r="H59" s="19"/>
      <c r="I59" s="18"/>
      <c r="J59" s="20"/>
      <c r="K59" s="32" t="s">
        <v>102</v>
      </c>
      <c r="L59" s="19"/>
      <c r="M59" s="48">
        <v>4</v>
      </c>
      <c r="N59" s="27"/>
    </row>
    <row r="60" spans="1:14" ht="17.25" customHeight="1" x14ac:dyDescent="0.15">
      <c r="A60" s="40"/>
      <c r="B60" s="44"/>
      <c r="C60" s="19" t="s">
        <v>122</v>
      </c>
      <c r="D60" s="19" t="s">
        <v>37</v>
      </c>
      <c r="E60" s="19">
        <v>4</v>
      </c>
      <c r="F60" s="18">
        <v>4</v>
      </c>
      <c r="G60" s="19"/>
      <c r="H60" s="19"/>
      <c r="I60" s="18"/>
      <c r="J60" s="20"/>
      <c r="K60" s="31"/>
      <c r="L60" s="19"/>
      <c r="M60" s="47"/>
      <c r="N60" s="27"/>
    </row>
    <row r="61" spans="1:14" ht="17.25" customHeight="1" x14ac:dyDescent="0.15">
      <c r="A61" s="40"/>
      <c r="B61" s="42" t="s">
        <v>115</v>
      </c>
      <c r="C61" s="17" t="s">
        <v>91</v>
      </c>
      <c r="D61" s="17" t="s">
        <v>37</v>
      </c>
      <c r="E61" s="17">
        <v>4</v>
      </c>
      <c r="F61" s="16">
        <v>4</v>
      </c>
      <c r="G61" s="17"/>
      <c r="H61" s="17"/>
      <c r="I61" s="18"/>
      <c r="J61" s="19"/>
      <c r="K61" s="32" t="s">
        <v>64</v>
      </c>
      <c r="L61" s="17"/>
      <c r="M61" s="48">
        <v>8</v>
      </c>
      <c r="N61" s="27"/>
    </row>
    <row r="62" spans="1:14" ht="17.25" customHeight="1" x14ac:dyDescent="0.15">
      <c r="A62" s="40"/>
      <c r="B62" s="43"/>
      <c r="C62" s="17" t="s">
        <v>79</v>
      </c>
      <c r="D62" s="17" t="s">
        <v>37</v>
      </c>
      <c r="E62" s="17">
        <v>4</v>
      </c>
      <c r="F62" s="16">
        <v>4</v>
      </c>
      <c r="G62" s="17"/>
      <c r="H62" s="17"/>
      <c r="I62" s="18"/>
      <c r="J62" s="19"/>
      <c r="K62" s="30"/>
      <c r="L62" s="17"/>
      <c r="M62" s="46"/>
      <c r="N62" s="27"/>
    </row>
    <row r="63" spans="1:14" ht="17.25" customHeight="1" x14ac:dyDescent="0.15">
      <c r="A63" s="40"/>
      <c r="B63" s="43"/>
      <c r="C63" s="17" t="s">
        <v>52</v>
      </c>
      <c r="D63" s="17" t="s">
        <v>83</v>
      </c>
      <c r="E63" s="17">
        <v>4</v>
      </c>
      <c r="F63" s="16">
        <v>4</v>
      </c>
      <c r="G63" s="17"/>
      <c r="H63" s="17"/>
      <c r="I63" s="18"/>
      <c r="J63" s="19"/>
      <c r="K63" s="30"/>
      <c r="L63" s="17"/>
      <c r="M63" s="46"/>
      <c r="N63" s="27"/>
    </row>
    <row r="64" spans="1:14" ht="17.25" customHeight="1" x14ac:dyDescent="0.15">
      <c r="A64" s="40"/>
      <c r="B64" s="43"/>
      <c r="C64" s="17" t="s">
        <v>86</v>
      </c>
      <c r="D64" s="17" t="s">
        <v>37</v>
      </c>
      <c r="E64" s="17">
        <v>4</v>
      </c>
      <c r="F64" s="16">
        <v>4</v>
      </c>
      <c r="G64" s="17"/>
      <c r="H64" s="17"/>
      <c r="I64" s="18"/>
      <c r="J64" s="19"/>
      <c r="K64" s="30"/>
      <c r="L64" s="17"/>
      <c r="M64" s="46"/>
      <c r="N64" s="27"/>
    </row>
    <row r="65" spans="1:14" ht="17.25" customHeight="1" x14ac:dyDescent="0.15">
      <c r="A65" s="40"/>
      <c r="B65" s="43"/>
      <c r="C65" s="17" t="s">
        <v>90</v>
      </c>
      <c r="D65" s="17" t="s">
        <v>83</v>
      </c>
      <c r="E65" s="17">
        <v>4</v>
      </c>
      <c r="F65" s="16">
        <v>4</v>
      </c>
      <c r="G65" s="17"/>
      <c r="H65" s="17"/>
      <c r="I65" s="18"/>
      <c r="J65" s="20"/>
      <c r="K65" s="30"/>
      <c r="L65" s="17"/>
      <c r="M65" s="46"/>
      <c r="N65" s="27"/>
    </row>
    <row r="66" spans="1:14" ht="17.25" customHeight="1" x14ac:dyDescent="0.15">
      <c r="A66" s="40"/>
      <c r="B66" s="43"/>
      <c r="C66" s="17" t="s">
        <v>56</v>
      </c>
      <c r="D66" s="17" t="s">
        <v>83</v>
      </c>
      <c r="E66" s="17">
        <v>4</v>
      </c>
      <c r="F66" s="16">
        <v>4</v>
      </c>
      <c r="G66" s="17"/>
      <c r="H66" s="17"/>
      <c r="I66" s="17"/>
      <c r="J66" s="20"/>
      <c r="K66" s="30"/>
      <c r="L66" s="17"/>
      <c r="M66" s="46"/>
      <c r="N66" s="27"/>
    </row>
    <row r="67" spans="1:14" ht="17.25" customHeight="1" x14ac:dyDescent="0.15">
      <c r="A67" s="40"/>
      <c r="B67" s="43"/>
      <c r="C67" s="17" t="s">
        <v>93</v>
      </c>
      <c r="D67" s="17" t="s">
        <v>83</v>
      </c>
      <c r="E67" s="17">
        <v>4</v>
      </c>
      <c r="F67" s="16">
        <v>4</v>
      </c>
      <c r="G67" s="17"/>
      <c r="H67" s="17"/>
      <c r="I67" s="17"/>
      <c r="J67" s="20"/>
      <c r="K67" s="30"/>
      <c r="L67" s="17"/>
      <c r="M67" s="46"/>
      <c r="N67" s="27"/>
    </row>
    <row r="68" spans="1:14" ht="17.25" customHeight="1" x14ac:dyDescent="0.15">
      <c r="A68" s="40"/>
      <c r="B68" s="43"/>
      <c r="C68" s="17" t="s">
        <v>125</v>
      </c>
      <c r="D68" s="17" t="s">
        <v>37</v>
      </c>
      <c r="E68" s="17">
        <v>4</v>
      </c>
      <c r="F68" s="16">
        <v>4</v>
      </c>
      <c r="G68" s="17"/>
      <c r="H68" s="17"/>
      <c r="I68" s="17"/>
      <c r="J68" s="20"/>
      <c r="K68" s="30"/>
      <c r="L68" s="17"/>
      <c r="M68" s="46"/>
      <c r="N68" s="27"/>
    </row>
    <row r="69" spans="1:14" ht="17.25" customHeight="1" x14ac:dyDescent="0.15">
      <c r="A69" s="40"/>
      <c r="B69" s="44"/>
      <c r="C69" s="17" t="s">
        <v>120</v>
      </c>
      <c r="D69" s="17" t="s">
        <v>83</v>
      </c>
      <c r="E69" s="17">
        <v>4</v>
      </c>
      <c r="F69" s="16">
        <v>4</v>
      </c>
      <c r="G69" s="17"/>
      <c r="H69" s="17"/>
      <c r="I69" s="17"/>
      <c r="J69" s="20"/>
      <c r="K69" s="31"/>
      <c r="L69" s="17"/>
      <c r="M69" s="47"/>
      <c r="N69" s="27"/>
    </row>
    <row r="70" spans="1:14" ht="17.25" customHeight="1" x14ac:dyDescent="0.15">
      <c r="A70" s="40"/>
      <c r="B70" s="42" t="s">
        <v>88</v>
      </c>
      <c r="C70" s="17" t="s">
        <v>104</v>
      </c>
      <c r="D70" s="17" t="s">
        <v>83</v>
      </c>
      <c r="E70" s="17">
        <v>4</v>
      </c>
      <c r="F70" s="16">
        <v>5</v>
      </c>
      <c r="G70" s="17"/>
      <c r="H70" s="17"/>
      <c r="I70" s="17"/>
      <c r="J70" s="20"/>
      <c r="K70" s="22"/>
      <c r="L70" s="32" t="s">
        <v>65</v>
      </c>
      <c r="M70" s="48">
        <v>25</v>
      </c>
      <c r="N70" s="27"/>
    </row>
    <row r="71" spans="1:14" ht="17.25" customHeight="1" x14ac:dyDescent="0.15">
      <c r="A71" s="40"/>
      <c r="B71" s="43"/>
      <c r="C71" s="17" t="s">
        <v>103</v>
      </c>
      <c r="D71" s="17" t="s">
        <v>83</v>
      </c>
      <c r="E71" s="17">
        <v>4</v>
      </c>
      <c r="F71" s="16">
        <v>5</v>
      </c>
      <c r="G71" s="17"/>
      <c r="H71" s="17"/>
      <c r="I71" s="17"/>
      <c r="J71" s="20"/>
      <c r="K71" s="22"/>
      <c r="L71" s="30"/>
      <c r="M71" s="46"/>
      <c r="N71" s="27"/>
    </row>
    <row r="72" spans="1:14" ht="17.25" customHeight="1" x14ac:dyDescent="0.15">
      <c r="A72" s="40"/>
      <c r="B72" s="44"/>
      <c r="C72" s="17" t="s">
        <v>94</v>
      </c>
      <c r="D72" s="17" t="s">
        <v>82</v>
      </c>
      <c r="E72" s="17">
        <v>4</v>
      </c>
      <c r="F72" s="16">
        <v>5</v>
      </c>
      <c r="G72" s="17"/>
      <c r="H72" s="17"/>
      <c r="I72" s="17"/>
      <c r="J72" s="19"/>
      <c r="K72" s="17"/>
      <c r="L72" s="30"/>
      <c r="M72" s="46"/>
      <c r="N72" s="27"/>
    </row>
    <row r="73" spans="1:14" ht="17.25" customHeight="1" x14ac:dyDescent="0.15">
      <c r="A73" s="40"/>
      <c r="B73" s="42" t="s">
        <v>54</v>
      </c>
      <c r="C73" s="17" t="s">
        <v>89</v>
      </c>
      <c r="D73" s="17" t="s">
        <v>37</v>
      </c>
      <c r="E73" s="17">
        <v>4</v>
      </c>
      <c r="F73" s="16">
        <v>5</v>
      </c>
      <c r="G73" s="17"/>
      <c r="H73" s="17"/>
      <c r="I73" s="17"/>
      <c r="J73" s="19"/>
      <c r="K73" s="17"/>
      <c r="L73" s="30"/>
      <c r="M73" s="46"/>
      <c r="N73" s="27"/>
    </row>
    <row r="74" spans="1:14" ht="17.25" customHeight="1" x14ac:dyDescent="0.15">
      <c r="A74" s="40"/>
      <c r="B74" s="44"/>
      <c r="C74" s="17" t="s">
        <v>105</v>
      </c>
      <c r="D74" s="17" t="s">
        <v>82</v>
      </c>
      <c r="E74" s="17">
        <v>4</v>
      </c>
      <c r="F74" s="16">
        <v>5</v>
      </c>
      <c r="G74" s="17"/>
      <c r="H74" s="17"/>
      <c r="I74" s="17"/>
      <c r="J74" s="19"/>
      <c r="K74" s="17"/>
      <c r="L74" s="30"/>
      <c r="M74" s="46"/>
      <c r="N74" s="27"/>
    </row>
    <row r="75" spans="1:14" ht="17.25" customHeight="1" x14ac:dyDescent="0.15">
      <c r="A75" s="40"/>
      <c r="B75" s="42" t="s">
        <v>55</v>
      </c>
      <c r="C75" s="17" t="s">
        <v>106</v>
      </c>
      <c r="D75" s="17" t="s">
        <v>40</v>
      </c>
      <c r="E75" s="17">
        <v>4</v>
      </c>
      <c r="F75" s="16">
        <v>5</v>
      </c>
      <c r="G75" s="17"/>
      <c r="H75" s="17"/>
      <c r="I75" s="17"/>
      <c r="J75" s="19"/>
      <c r="K75" s="17"/>
      <c r="L75" s="30"/>
      <c r="M75" s="46"/>
      <c r="N75" s="27"/>
    </row>
    <row r="76" spans="1:14" ht="17.25" customHeight="1" x14ac:dyDescent="0.15">
      <c r="A76" s="40"/>
      <c r="B76" s="44"/>
      <c r="C76" s="17" t="s">
        <v>121</v>
      </c>
      <c r="D76" s="17" t="s">
        <v>82</v>
      </c>
      <c r="E76" s="17">
        <v>4</v>
      </c>
      <c r="F76" s="16">
        <v>5</v>
      </c>
      <c r="G76" s="17"/>
      <c r="H76" s="17"/>
      <c r="I76" s="17"/>
      <c r="J76" s="19"/>
      <c r="K76" s="17"/>
      <c r="L76" s="30"/>
      <c r="M76" s="46"/>
      <c r="N76" s="27"/>
    </row>
    <row r="77" spans="1:14" ht="17.25" customHeight="1" x14ac:dyDescent="0.15">
      <c r="A77" s="40"/>
      <c r="B77" s="42" t="s">
        <v>46</v>
      </c>
      <c r="C77" s="17" t="s">
        <v>97</v>
      </c>
      <c r="D77" s="17" t="s">
        <v>40</v>
      </c>
      <c r="E77" s="17">
        <v>4</v>
      </c>
      <c r="F77" s="16">
        <v>5</v>
      </c>
      <c r="G77" s="17"/>
      <c r="H77" s="17"/>
      <c r="I77" s="17"/>
      <c r="J77" s="19"/>
      <c r="K77" s="17"/>
      <c r="L77" s="30"/>
      <c r="M77" s="46"/>
      <c r="N77" s="27"/>
    </row>
    <row r="78" spans="1:14" ht="17.25" customHeight="1" x14ac:dyDescent="0.15">
      <c r="A78" s="40"/>
      <c r="B78" s="43"/>
      <c r="C78" s="17" t="s">
        <v>107</v>
      </c>
      <c r="D78" s="17" t="s">
        <v>82</v>
      </c>
      <c r="E78" s="17">
        <v>4</v>
      </c>
      <c r="F78" s="16">
        <v>5</v>
      </c>
      <c r="G78" s="17"/>
      <c r="H78" s="17"/>
      <c r="I78" s="17"/>
      <c r="J78" s="19"/>
      <c r="K78" s="17"/>
      <c r="L78" s="30"/>
      <c r="M78" s="46"/>
      <c r="N78" s="27"/>
    </row>
    <row r="79" spans="1:14" ht="17.25" customHeight="1" x14ac:dyDescent="0.15">
      <c r="A79" s="40"/>
      <c r="B79" s="43"/>
      <c r="C79" s="17" t="s">
        <v>96</v>
      </c>
      <c r="D79" s="17" t="s">
        <v>82</v>
      </c>
      <c r="E79" s="17">
        <v>4</v>
      </c>
      <c r="F79" s="16">
        <v>5</v>
      </c>
      <c r="G79" s="17"/>
      <c r="H79" s="17"/>
      <c r="I79" s="17"/>
      <c r="J79" s="19"/>
      <c r="K79" s="17"/>
      <c r="L79" s="30"/>
      <c r="M79" s="46"/>
      <c r="N79" s="27"/>
    </row>
    <row r="80" spans="1:14" ht="17.25" customHeight="1" x14ac:dyDescent="0.15">
      <c r="A80" s="40"/>
      <c r="B80" s="43"/>
      <c r="C80" s="17" t="s">
        <v>108</v>
      </c>
      <c r="D80" s="17" t="s">
        <v>40</v>
      </c>
      <c r="E80" s="17">
        <v>4</v>
      </c>
      <c r="F80" s="16">
        <v>5</v>
      </c>
      <c r="G80" s="17"/>
      <c r="H80" s="17"/>
      <c r="I80" s="17"/>
      <c r="J80" s="19"/>
      <c r="K80" s="17"/>
      <c r="L80" s="30"/>
      <c r="M80" s="46"/>
      <c r="N80" s="27"/>
    </row>
    <row r="81" spans="1:18" ht="17.25" customHeight="1" x14ac:dyDescent="0.15">
      <c r="A81" s="40"/>
      <c r="B81" s="44"/>
      <c r="C81" s="17" t="s">
        <v>109</v>
      </c>
      <c r="D81" s="17" t="s">
        <v>82</v>
      </c>
      <c r="E81" s="17">
        <v>4</v>
      </c>
      <c r="F81" s="16">
        <v>5</v>
      </c>
      <c r="G81" s="17"/>
      <c r="H81" s="17"/>
      <c r="I81" s="17"/>
      <c r="J81" s="19"/>
      <c r="K81" s="17"/>
      <c r="L81" s="30"/>
      <c r="M81" s="46"/>
      <c r="N81" s="27"/>
    </row>
    <row r="82" spans="1:18" ht="17.25" customHeight="1" x14ac:dyDescent="0.15">
      <c r="A82" s="40"/>
      <c r="B82" s="42" t="s">
        <v>49</v>
      </c>
      <c r="C82" s="17" t="s">
        <v>95</v>
      </c>
      <c r="D82" s="17" t="s">
        <v>40</v>
      </c>
      <c r="E82" s="17">
        <v>4</v>
      </c>
      <c r="F82" s="16">
        <v>5</v>
      </c>
      <c r="G82" s="17"/>
      <c r="H82" s="17"/>
      <c r="I82" s="17"/>
      <c r="J82" s="19"/>
      <c r="K82" s="17"/>
      <c r="L82" s="30"/>
      <c r="M82" s="46"/>
      <c r="N82" s="27"/>
    </row>
    <row r="83" spans="1:18" ht="17.25" customHeight="1" x14ac:dyDescent="0.15">
      <c r="A83" s="40"/>
      <c r="B83" s="43"/>
      <c r="C83" s="17" t="s">
        <v>110</v>
      </c>
      <c r="D83" s="17" t="s">
        <v>40</v>
      </c>
      <c r="E83" s="17">
        <v>4</v>
      </c>
      <c r="F83" s="16">
        <v>5</v>
      </c>
      <c r="G83" s="17"/>
      <c r="H83" s="17"/>
      <c r="I83" s="17"/>
      <c r="J83" s="19"/>
      <c r="K83" s="17"/>
      <c r="L83" s="30"/>
      <c r="M83" s="46"/>
      <c r="N83" s="27"/>
    </row>
    <row r="84" spans="1:18" ht="17.25" customHeight="1" x14ac:dyDescent="0.15">
      <c r="A84" s="41"/>
      <c r="B84" s="44"/>
      <c r="C84" s="17" t="s">
        <v>111</v>
      </c>
      <c r="D84" s="17" t="s">
        <v>40</v>
      </c>
      <c r="E84" s="17">
        <v>4</v>
      </c>
      <c r="F84" s="16">
        <v>5</v>
      </c>
      <c r="G84" s="17"/>
      <c r="H84" s="17"/>
      <c r="I84" s="17"/>
      <c r="J84" s="19"/>
      <c r="K84" s="17"/>
      <c r="L84" s="31"/>
      <c r="M84" s="47"/>
      <c r="N84" s="28"/>
    </row>
    <row r="85" spans="1:18" ht="17.25" customHeight="1" x14ac:dyDescent="0.15">
      <c r="A85" s="35" t="s">
        <v>10</v>
      </c>
      <c r="B85" s="36"/>
      <c r="C85" s="36"/>
      <c r="D85" s="36"/>
      <c r="E85" s="36"/>
      <c r="F85" s="36"/>
      <c r="G85" s="13">
        <v>29</v>
      </c>
      <c r="H85" s="13">
        <v>29</v>
      </c>
      <c r="I85" s="13">
        <v>29</v>
      </c>
      <c r="J85" s="13">
        <v>29</v>
      </c>
      <c r="K85" s="13">
        <v>29</v>
      </c>
      <c r="L85" s="13">
        <v>29</v>
      </c>
      <c r="M85" s="8">
        <f t="shared" ref="M85:M87" si="1">SUM(G85:L85)</f>
        <v>174</v>
      </c>
      <c r="N85" s="6"/>
      <c r="R85" s="1"/>
    </row>
    <row r="86" spans="1:18" ht="17.25" customHeight="1" x14ac:dyDescent="0.15">
      <c r="A86" s="37" t="s">
        <v>15</v>
      </c>
      <c r="B86" s="38"/>
      <c r="C86" s="38"/>
      <c r="D86" s="38"/>
      <c r="E86" s="38"/>
      <c r="F86" s="38"/>
      <c r="G86" s="8">
        <v>3</v>
      </c>
      <c r="H86" s="8">
        <v>3</v>
      </c>
      <c r="I86" s="8">
        <v>3</v>
      </c>
      <c r="J86" s="8">
        <v>3</v>
      </c>
      <c r="K86" s="8">
        <v>3</v>
      </c>
      <c r="L86" s="8">
        <v>3</v>
      </c>
      <c r="M86" s="8">
        <f t="shared" si="1"/>
        <v>18</v>
      </c>
      <c r="N86" s="6"/>
      <c r="R86" s="1"/>
    </row>
    <row r="87" spans="1:18" ht="17.25" customHeight="1" x14ac:dyDescent="0.15">
      <c r="A87" s="37" t="s">
        <v>16</v>
      </c>
      <c r="B87" s="38"/>
      <c r="C87" s="38"/>
      <c r="D87" s="38"/>
      <c r="E87" s="38"/>
      <c r="F87" s="38"/>
      <c r="G87" s="15">
        <f>G85+G86</f>
        <v>32</v>
      </c>
      <c r="H87" s="15">
        <f t="shared" ref="H87:L87" si="2">H85+H86</f>
        <v>32</v>
      </c>
      <c r="I87" s="15">
        <f t="shared" si="2"/>
        <v>32</v>
      </c>
      <c r="J87" s="15">
        <f t="shared" si="2"/>
        <v>32</v>
      </c>
      <c r="K87" s="15">
        <f t="shared" si="2"/>
        <v>32</v>
      </c>
      <c r="L87" s="15">
        <f t="shared" si="2"/>
        <v>32</v>
      </c>
      <c r="M87" s="8">
        <f t="shared" si="1"/>
        <v>192</v>
      </c>
      <c r="N87" s="6"/>
    </row>
    <row r="88" spans="1:18" ht="17.25" customHeight="1" thickBot="1" x14ac:dyDescent="0.2">
      <c r="A88" s="33" t="s">
        <v>17</v>
      </c>
      <c r="B88" s="34"/>
      <c r="C88" s="34"/>
      <c r="D88" s="34"/>
      <c r="E88" s="34"/>
      <c r="F88" s="34"/>
      <c r="G88" s="7">
        <v>10</v>
      </c>
      <c r="H88" s="7">
        <v>10</v>
      </c>
      <c r="I88" s="7">
        <v>8</v>
      </c>
      <c r="J88" s="7">
        <v>9</v>
      </c>
      <c r="K88" s="7">
        <v>8</v>
      </c>
      <c r="L88" s="7">
        <v>7</v>
      </c>
      <c r="M88" s="8">
        <f>SUM(G88:L88)</f>
        <v>52</v>
      </c>
      <c r="N88" s="6"/>
    </row>
  </sheetData>
  <mergeCells count="73">
    <mergeCell ref="M70:M84"/>
    <mergeCell ref="M61:M69"/>
    <mergeCell ref="K59:K60"/>
    <mergeCell ref="M59:M60"/>
    <mergeCell ref="B47:B51"/>
    <mergeCell ref="B52:B58"/>
    <mergeCell ref="B61:B69"/>
    <mergeCell ref="B59:B60"/>
    <mergeCell ref="B73:B74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5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9:B40"/>
    <mergeCell ref="B46:F46"/>
    <mergeCell ref="B35:B38"/>
    <mergeCell ref="M35:M38"/>
    <mergeCell ref="N35:N38"/>
    <mergeCell ref="M39:M45"/>
    <mergeCell ref="N39:N45"/>
    <mergeCell ref="B42:B45"/>
    <mergeCell ref="N47:N84"/>
    <mergeCell ref="I47:I51"/>
    <mergeCell ref="J52:J58"/>
    <mergeCell ref="K61:K69"/>
    <mergeCell ref="A88:F88"/>
    <mergeCell ref="A85:F85"/>
    <mergeCell ref="A86:F86"/>
    <mergeCell ref="A87:F87"/>
    <mergeCell ref="A47:A84"/>
    <mergeCell ref="B77:B81"/>
    <mergeCell ref="B82:B84"/>
    <mergeCell ref="M47:M51"/>
    <mergeCell ref="M52:M58"/>
    <mergeCell ref="B70:B72"/>
    <mergeCell ref="B75:B76"/>
    <mergeCell ref="L70:L84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양식(일반고,자율고,특목고)</vt:lpstr>
      <vt:lpstr>'양식(일반고,자율고,특목고)'!Print_Area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영어 박정민</cp:lastModifiedBy>
  <cp:revision>6</cp:revision>
  <cp:lastPrinted>2025-11-19T07:11:53Z</cp:lastPrinted>
  <dcterms:created xsi:type="dcterms:W3CDTF">2002-10-10T04:04:10Z</dcterms:created>
  <dcterms:modified xsi:type="dcterms:W3CDTF">2025-11-19T10:51:57Z</dcterms:modified>
  <cp:version>0906.0100.01</cp:version>
</cp:coreProperties>
</file>