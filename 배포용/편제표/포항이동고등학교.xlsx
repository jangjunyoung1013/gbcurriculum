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45cbbc6ef4918a4/Desktop/"/>
    </mc:Choice>
  </mc:AlternateContent>
  <xr:revisionPtr revIDLastSave="0" documentId="8_{E85FB631-DDF0-46D3-A103-070CB47CDD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 입학생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1" i="2" l="1"/>
  <c r="N60" i="2"/>
  <c r="N59" i="2"/>
  <c r="N58" i="2"/>
  <c r="N55" i="2"/>
  <c r="N54" i="2"/>
  <c r="N44" i="2"/>
  <c r="N45" i="2"/>
  <c r="N46" i="2"/>
  <c r="N47" i="2"/>
  <c r="M64" i="2"/>
  <c r="H64" i="2"/>
  <c r="N52" i="2"/>
  <c r="N68" i="2"/>
  <c r="N16" i="2" l="1"/>
  <c r="N11" i="2"/>
  <c r="N6" i="2"/>
  <c r="N66" i="2"/>
  <c r="L64" i="2"/>
  <c r="K64" i="2"/>
  <c r="J64" i="2"/>
  <c r="I64" i="2"/>
  <c r="N57" i="2"/>
  <c r="N56" i="2"/>
  <c r="N53" i="2"/>
  <c r="N50" i="2"/>
  <c r="N49" i="2"/>
  <c r="O43" i="2"/>
  <c r="M43" i="2"/>
  <c r="L43" i="2"/>
  <c r="K43" i="2"/>
  <c r="J43" i="2"/>
  <c r="I43" i="2"/>
  <c r="H43" i="2"/>
  <c r="N29" i="2"/>
  <c r="N25" i="2"/>
  <c r="O44" i="2" l="1"/>
  <c r="N64" i="2"/>
  <c r="N43" i="2"/>
  <c r="I65" i="2"/>
  <c r="I67" i="2" s="1"/>
  <c r="J65" i="2"/>
  <c r="J67" i="2" s="1"/>
  <c r="H65" i="2"/>
  <c r="H67" i="2" s="1"/>
  <c r="K65" i="2"/>
  <c r="K67" i="2" s="1"/>
  <c r="L65" i="2"/>
  <c r="L67" i="2" s="1"/>
  <c r="M65" i="2"/>
  <c r="M67" i="2" l="1"/>
  <c r="L69" i="2" s="1"/>
  <c r="N65" i="2"/>
  <c r="J69" i="2"/>
  <c r="H69" i="2"/>
  <c r="N67" i="2" l="1"/>
  <c r="N69" i="2"/>
</calcChain>
</file>

<file path=xl/sharedStrings.xml><?xml version="1.0" encoding="utf-8"?>
<sst xmlns="http://schemas.openxmlformats.org/spreadsheetml/2006/main" count="197" uniqueCount="106">
  <si>
    <t>창의적 체험활동</t>
  </si>
  <si>
    <t>택1</t>
  </si>
  <si>
    <t>일반</t>
  </si>
  <si>
    <t>사회
과학</t>
    <phoneticPr fontId="1" type="noConversion"/>
  </si>
  <si>
    <t>국어
영어
수학</t>
    <phoneticPr fontId="1" type="noConversion"/>
  </si>
  <si>
    <t>학생선택</t>
    <phoneticPr fontId="1" type="noConversion"/>
  </si>
  <si>
    <t>미술</t>
  </si>
  <si>
    <t>음악</t>
  </si>
  <si>
    <t>예 술</t>
  </si>
  <si>
    <t>체 육</t>
  </si>
  <si>
    <t>공통</t>
  </si>
  <si>
    <t>과 학</t>
  </si>
  <si>
    <t>영 어</t>
  </si>
  <si>
    <t>수 학</t>
  </si>
  <si>
    <t>국 어</t>
  </si>
  <si>
    <t>학교지정</t>
  </si>
  <si>
    <t>2학기</t>
  </si>
  <si>
    <t>1학기</t>
  </si>
  <si>
    <t>3학년</t>
  </si>
  <si>
    <t>2학년</t>
  </si>
  <si>
    <t>1학년</t>
  </si>
  <si>
    <t>과목유형</t>
    <phoneticPr fontId="1" type="noConversion"/>
  </si>
  <si>
    <t>선택</t>
    <phoneticPr fontId="1" type="noConversion"/>
  </si>
  <si>
    <t>(포항이동)고등학교</t>
    <phoneticPr fontId="1" type="noConversion"/>
  </si>
  <si>
    <t>학교유형: 일반고</t>
    <phoneticPr fontId="1" type="noConversion"/>
  </si>
  <si>
    <t>택1</t>
    <phoneticPr fontId="1" type="noConversion"/>
  </si>
  <si>
    <t>일반</t>
    <phoneticPr fontId="1" type="noConversion"/>
  </si>
  <si>
    <t>진로</t>
    <phoneticPr fontId="1" type="noConversion"/>
  </si>
  <si>
    <t>구분</t>
    <phoneticPr fontId="1" type="noConversion"/>
  </si>
  <si>
    <t>교과(군)</t>
    <phoneticPr fontId="1" type="noConversion"/>
  </si>
  <si>
    <t>세 부 교 과 목</t>
    <phoneticPr fontId="1" type="noConversion"/>
  </si>
  <si>
    <t>택2</t>
    <phoneticPr fontId="1" type="noConversion"/>
  </si>
  <si>
    <t>이수
학점</t>
    <phoneticPr fontId="1" type="noConversion"/>
  </si>
  <si>
    <t>필수
학점</t>
    <phoneticPr fontId="1" type="noConversion"/>
  </si>
  <si>
    <t>기준
학점</t>
    <phoneticPr fontId="1" type="noConversion"/>
  </si>
  <si>
    <t>운영
학점</t>
    <phoneticPr fontId="1" type="noConversion"/>
  </si>
  <si>
    <t>교과 이수학점 소계</t>
    <phoneticPr fontId="1" type="noConversion"/>
  </si>
  <si>
    <t>학기별 총 이수 학점</t>
    <phoneticPr fontId="1" type="noConversion"/>
  </si>
  <si>
    <t>학년별 총 이수학점</t>
    <phoneticPr fontId="1" type="noConversion"/>
  </si>
  <si>
    <t>지정</t>
    <phoneticPr fontId="1" type="noConversion"/>
  </si>
  <si>
    <t>지정</t>
    <phoneticPr fontId="1" type="noConversion"/>
  </si>
  <si>
    <t>진로</t>
    <phoneticPr fontId="1" type="noConversion"/>
  </si>
  <si>
    <t>문학</t>
    <phoneticPr fontId="1" type="noConversion"/>
  </si>
  <si>
    <t>독서와 작문</t>
    <phoneticPr fontId="1" type="noConversion"/>
  </si>
  <si>
    <t>화법과 언어</t>
    <phoneticPr fontId="1" type="noConversion"/>
  </si>
  <si>
    <t>공통수학Ⅰ</t>
    <phoneticPr fontId="1" type="noConversion"/>
  </si>
  <si>
    <t>공통수학Ⅱ</t>
    <phoneticPr fontId="1" type="noConversion"/>
  </si>
  <si>
    <t>공통</t>
    <phoneticPr fontId="1" type="noConversion"/>
  </si>
  <si>
    <t>대수</t>
    <phoneticPr fontId="1" type="noConversion"/>
  </si>
  <si>
    <t>미적분Ⅰ</t>
    <phoneticPr fontId="1" type="noConversion"/>
  </si>
  <si>
    <t>확률과 통계</t>
    <phoneticPr fontId="1" type="noConversion"/>
  </si>
  <si>
    <t>공통영어Ⅱ</t>
    <phoneticPr fontId="1" type="noConversion"/>
  </si>
  <si>
    <t>공통영어Ⅰ</t>
    <phoneticPr fontId="1" type="noConversion"/>
  </si>
  <si>
    <t>영어Ⅰ</t>
    <phoneticPr fontId="1" type="noConversion"/>
  </si>
  <si>
    <t>영어Ⅱ</t>
    <phoneticPr fontId="1" type="noConversion"/>
  </si>
  <si>
    <t>영어 독해와 작문</t>
    <phoneticPr fontId="1" type="noConversion"/>
  </si>
  <si>
    <t xml:space="preserve">
사회
</t>
    <phoneticPr fontId="1" type="noConversion"/>
  </si>
  <si>
    <t>한국사Ⅰ</t>
    <phoneticPr fontId="1" type="noConversion"/>
  </si>
  <si>
    <t>한국사Ⅱ</t>
    <phoneticPr fontId="1" type="noConversion"/>
  </si>
  <si>
    <t>통합사회Ⅰ</t>
    <phoneticPr fontId="1" type="noConversion"/>
  </si>
  <si>
    <t>통합사회Ⅱ</t>
    <phoneticPr fontId="1" type="noConversion"/>
  </si>
  <si>
    <t>통합과학Ⅰ</t>
    <phoneticPr fontId="1" type="noConversion"/>
  </si>
  <si>
    <t>통합과학Ⅱ</t>
    <phoneticPr fontId="1" type="noConversion"/>
  </si>
  <si>
    <t>과학탐구실험Ⅰ</t>
    <phoneticPr fontId="1" type="noConversion"/>
  </si>
  <si>
    <t>과학탐구실험Ⅱ</t>
    <phoneticPr fontId="1" type="noConversion"/>
  </si>
  <si>
    <t>체육Ⅰ</t>
    <phoneticPr fontId="1" type="noConversion"/>
  </si>
  <si>
    <t>체육Ⅱ</t>
    <phoneticPr fontId="1" type="noConversion"/>
  </si>
  <si>
    <t>스포츠 과학</t>
    <phoneticPr fontId="1" type="noConversion"/>
  </si>
  <si>
    <t>스포츠 생활Ⅰ</t>
    <phoneticPr fontId="1" type="noConversion"/>
  </si>
  <si>
    <t>융합</t>
    <phoneticPr fontId="1" type="noConversion"/>
  </si>
  <si>
    <t>음악 연주와 창작</t>
    <phoneticPr fontId="1" type="noConversion"/>
  </si>
  <si>
    <t>미술 창작</t>
    <phoneticPr fontId="1" type="noConversion"/>
  </si>
  <si>
    <t>예술</t>
    <phoneticPr fontId="1" type="noConversion"/>
  </si>
  <si>
    <t>음악과 미디어/미술과 매체</t>
    <phoneticPr fontId="1" type="noConversion"/>
  </si>
  <si>
    <t>진로/융합</t>
    <phoneticPr fontId="1" type="noConversion"/>
  </si>
  <si>
    <t>학기당 이수 과목 수</t>
    <phoneticPr fontId="1" type="noConversion"/>
  </si>
  <si>
    <t>기술가정</t>
    <phoneticPr fontId="1" type="noConversion"/>
  </si>
  <si>
    <t>정보</t>
    <phoneticPr fontId="1" type="noConversion"/>
  </si>
  <si>
    <t>영미 문학 읽기/영어 발표와 토론</t>
    <phoneticPr fontId="1" type="noConversion"/>
  </si>
  <si>
    <t>공통국어Ⅰ</t>
    <phoneticPr fontId="1" type="noConversion"/>
  </si>
  <si>
    <t>공통국어Ⅱ</t>
    <phoneticPr fontId="1" type="noConversion"/>
  </si>
  <si>
    <t>미적분Ⅱ/심화영어</t>
    <phoneticPr fontId="1" type="noConversion"/>
  </si>
  <si>
    <t>문학과 영상/언어생활 탐구</t>
    <phoneticPr fontId="1" type="noConversion"/>
  </si>
  <si>
    <t>인공지능수학/수학과 문화</t>
    <phoneticPr fontId="1" type="noConversion"/>
  </si>
  <si>
    <t>국어/영어/수학/기술가정/정보/한문/제2외국어</t>
    <phoneticPr fontId="1" type="noConversion"/>
  </si>
  <si>
    <t>주제탐구독서/기하/심화 영어독해와 작문</t>
    <phoneticPr fontId="1" type="noConversion"/>
  </si>
  <si>
    <r>
      <t>2025학년도</t>
    </r>
    <r>
      <rPr>
        <b/>
        <sz val="18"/>
        <rFont val="맑은 고딕"/>
        <family val="3"/>
        <charset val="129"/>
      </rPr>
      <t xml:space="preserve"> 입학생 3개년 교육과정 편성표</t>
    </r>
    <phoneticPr fontId="1" type="noConversion"/>
  </si>
  <si>
    <t>(3)</t>
    <phoneticPr fontId="1" type="noConversion"/>
  </si>
  <si>
    <t>스포츠 생활Ⅱ</t>
    <phoneticPr fontId="1" type="noConversion"/>
  </si>
  <si>
    <t>스포츠 문화</t>
    <phoneticPr fontId="1" type="noConversion"/>
  </si>
  <si>
    <t>세계시민과 지리/사회와 문화/세계사/
현대사회와 윤리/물리학/생명과학/화학/
지구과학</t>
    <phoneticPr fontId="1" type="noConversion"/>
  </si>
  <si>
    <t>택4</t>
    <phoneticPr fontId="1" type="noConversion"/>
  </si>
  <si>
    <t>한국지리탐구/동아시아 역사기행/
경제/윤리와 사상/역학과 에너지/
물질과 에너지/세포와 물질대사/
지구시스템과학/과학과제연구</t>
    <phoneticPr fontId="1" type="noConversion"/>
  </si>
  <si>
    <t>택3</t>
    <phoneticPr fontId="1" type="noConversion"/>
  </si>
  <si>
    <t>여행지리/역사로 탐구하는 현대 세계/
사회문제탐구/윤리문제탐구/
융합과학탐구/기후변화와 환경생태</t>
    <phoneticPr fontId="1" type="noConversion"/>
  </si>
  <si>
    <t>인간과 심리/교육의 이해/보건/생태와 환경</t>
    <phoneticPr fontId="1" type="noConversion"/>
  </si>
  <si>
    <t>과학융합/논리와 사고/인간과 철학/
인간과 경제활동</t>
    <phoneticPr fontId="1" type="noConversion"/>
  </si>
  <si>
    <t>일반/진로</t>
    <phoneticPr fontId="1" type="noConversion"/>
  </si>
  <si>
    <t>※ 과학중점반 학생은 과학 선택과목(일반/진로/융합)에서 10과목 필수 이수.(일반선택 4개 포함: 물리학,지구과학,화학,생명과학 포함.)
※ 과학중점반 학생은 과학융합, 정보 교과 2과목 (정보,인공지능기초)필수 이수.
※ 과학중점반 학생은 과학과제연구 필수 이수.
※ 과학중점반 학생은 수학 선택과목(일반/진로/융합) 4과목 필수 이수.(미적분Ⅱ, 기하 포함)</t>
    <phoneticPr fontId="1" type="noConversion"/>
  </si>
  <si>
    <t>인문학과 윤리/법과사회/도시의 미래탐구
/전자기와 양자/화학반응의 세계/
생물의 유전/행성우주과학</t>
    <phoneticPr fontId="1" type="noConversion"/>
  </si>
  <si>
    <t>기술가정
/정보</t>
    <phoneticPr fontId="1" type="noConversion"/>
  </si>
  <si>
    <t>한문/
제2외국어</t>
    <phoneticPr fontId="1" type="noConversion"/>
  </si>
  <si>
    <t>일본어</t>
    <phoneticPr fontId="1" type="noConversion"/>
  </si>
  <si>
    <t>한문</t>
    <phoneticPr fontId="1" type="noConversion"/>
  </si>
  <si>
    <t>교양</t>
    <phoneticPr fontId="1" type="noConversion"/>
  </si>
  <si>
    <t>독서 토론과 글쓰기/미디어 영어/
경제수학/언어생활과한자/일본문화/
중국문화/인공지능기초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</si>
</sst>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9" x14ac:knownFonts="1"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8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</font>
    <font>
      <sz val="6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93">
    <xf numFmtId="0" fontId="0" fillId="0" borderId="0" xfId="0"/>
    <xf numFmtId="0" fontId="2" fillId="0" borderId="1" xfId="0" applyFont="1" applyBorder="1"/>
    <xf numFmtId="0" fontId="2" fillId="0" borderId="6" xfId="0" applyFont="1" applyBorder="1"/>
    <xf numFmtId="0" fontId="2" fillId="0" borderId="1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0" borderId="24" xfId="0" applyFont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76" fontId="10" fillId="0" borderId="17" xfId="0" applyNumberFormat="1" applyFont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/>
    </xf>
    <xf numFmtId="0" fontId="10" fillId="3" borderId="12" xfId="0" quotePrefix="1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10" fillId="3" borderId="10" xfId="0" applyNumberFormat="1" applyFont="1" applyFill="1" applyBorder="1" applyAlignment="1">
      <alignment horizontal="center" vertical="center" wrapText="1"/>
    </xf>
    <xf numFmtId="0" fontId="10" fillId="3" borderId="8" xfId="0" quotePrefix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10" fillId="3" borderId="17" xfId="0" applyNumberFormat="1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0" borderId="27" xfId="0" applyFont="1" applyBorder="1"/>
    <xf numFmtId="0" fontId="0" fillId="0" borderId="0" xfId="0" applyAlignment="1">
      <alignment horizontal="left" wrapText="1"/>
    </xf>
    <xf numFmtId="0" fontId="10" fillId="3" borderId="48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176" fontId="10" fillId="0" borderId="37" xfId="0" applyNumberFormat="1" applyFont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shrinkToFit="1"/>
    </xf>
    <xf numFmtId="0" fontId="10" fillId="3" borderId="27" xfId="0" applyFont="1" applyFill="1" applyBorder="1" applyAlignment="1">
      <alignment horizontal="center" vertical="center"/>
    </xf>
    <xf numFmtId="0" fontId="12" fillId="0" borderId="49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/>
    </xf>
    <xf numFmtId="0" fontId="16" fillId="3" borderId="8" xfId="0" quotePrefix="1" applyFont="1" applyFill="1" applyBorder="1" applyAlignment="1">
      <alignment horizontal="center" vertical="center"/>
    </xf>
    <xf numFmtId="0" fontId="16" fillId="0" borderId="8" xfId="0" quotePrefix="1" applyFont="1" applyBorder="1" applyAlignment="1">
      <alignment horizontal="center" vertical="center"/>
    </xf>
    <xf numFmtId="0" fontId="16" fillId="0" borderId="6" xfId="0" quotePrefix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176" fontId="17" fillId="0" borderId="17" xfId="0" applyNumberFormat="1" applyFont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/>
    </xf>
    <xf numFmtId="0" fontId="17" fillId="3" borderId="12" xfId="0" quotePrefix="1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49" fontId="17" fillId="3" borderId="12" xfId="0" applyNumberFormat="1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wrapText="1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5" fillId="0" borderId="33" xfId="0" applyFont="1" applyBorder="1" applyAlignment="1">
      <alignment horizontal="left"/>
    </xf>
    <xf numFmtId="0" fontId="5" fillId="0" borderId="32" xfId="0" applyFont="1" applyBorder="1" applyAlignment="1">
      <alignment horizontal="left"/>
    </xf>
    <xf numFmtId="0" fontId="5" fillId="0" borderId="31" xfId="0" applyFont="1" applyBorder="1" applyAlignment="1">
      <alignment horizontal="left"/>
    </xf>
    <xf numFmtId="0" fontId="4" fillId="0" borderId="25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9" fillId="2" borderId="23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1"/>
  <sheetViews>
    <sheetView tabSelected="1" view="pageBreakPreview" topLeftCell="A13" zoomScaleNormal="100" zoomScaleSheetLayoutView="100" workbookViewId="0">
      <selection activeCell="C62" sqref="C62"/>
    </sheetView>
  </sheetViews>
  <sheetFormatPr defaultColWidth="8.88671875" defaultRowHeight="13.5" x14ac:dyDescent="0.15"/>
  <cols>
    <col min="1" max="1" width="7.77734375" customWidth="1"/>
    <col min="2" max="2" width="7.109375" customWidth="1"/>
    <col min="3" max="3" width="27.33203125" customWidth="1"/>
    <col min="4" max="4" width="7.77734375" customWidth="1"/>
    <col min="5" max="5" width="10.44140625" bestFit="1" customWidth="1"/>
    <col min="6" max="13" width="4.77734375" customWidth="1"/>
    <col min="14" max="14" width="5.77734375" customWidth="1"/>
    <col min="15" max="15" width="5.44140625" customWidth="1"/>
    <col min="16" max="16" width="62.5546875" customWidth="1"/>
  </cols>
  <sheetData>
    <row r="1" spans="1:15" ht="21" customHeight="1" thickBot="1" x14ac:dyDescent="0.2">
      <c r="A1" s="154" t="s">
        <v>86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6"/>
    </row>
    <row r="2" spans="1:15" ht="15" customHeight="1" thickBot="1" x14ac:dyDescent="0.35">
      <c r="A2" s="157" t="s">
        <v>24</v>
      </c>
      <c r="B2" s="158"/>
      <c r="C2" s="158"/>
      <c r="D2" s="158"/>
      <c r="E2" s="158"/>
      <c r="F2" s="158"/>
      <c r="G2" s="158"/>
      <c r="H2" s="158"/>
      <c r="I2" s="158"/>
      <c r="J2" s="158"/>
      <c r="K2" s="159"/>
      <c r="L2" s="160" t="s">
        <v>23</v>
      </c>
      <c r="M2" s="160"/>
      <c r="N2" s="160"/>
      <c r="O2" s="161"/>
    </row>
    <row r="3" spans="1:15" ht="12" customHeight="1" x14ac:dyDescent="0.15">
      <c r="A3" s="162" t="s">
        <v>28</v>
      </c>
      <c r="B3" s="149" t="s">
        <v>29</v>
      </c>
      <c r="C3" s="165" t="s">
        <v>30</v>
      </c>
      <c r="D3" s="165" t="s">
        <v>22</v>
      </c>
      <c r="E3" s="165" t="s">
        <v>21</v>
      </c>
      <c r="F3" s="165" t="s">
        <v>34</v>
      </c>
      <c r="G3" s="145" t="s">
        <v>35</v>
      </c>
      <c r="H3" s="148" t="s">
        <v>20</v>
      </c>
      <c r="I3" s="149"/>
      <c r="J3" s="149" t="s">
        <v>19</v>
      </c>
      <c r="K3" s="149"/>
      <c r="L3" s="149" t="s">
        <v>18</v>
      </c>
      <c r="M3" s="150"/>
      <c r="N3" s="168" t="s">
        <v>32</v>
      </c>
      <c r="O3" s="171" t="s">
        <v>33</v>
      </c>
    </row>
    <row r="4" spans="1:15" ht="12" customHeight="1" x14ac:dyDescent="0.15">
      <c r="A4" s="163"/>
      <c r="B4" s="142"/>
      <c r="C4" s="166"/>
      <c r="D4" s="166"/>
      <c r="E4" s="166"/>
      <c r="F4" s="166"/>
      <c r="G4" s="146"/>
      <c r="H4" s="163" t="s">
        <v>17</v>
      </c>
      <c r="I4" s="142" t="s">
        <v>16</v>
      </c>
      <c r="J4" s="142" t="s">
        <v>17</v>
      </c>
      <c r="K4" s="142" t="s">
        <v>16</v>
      </c>
      <c r="L4" s="142" t="s">
        <v>17</v>
      </c>
      <c r="M4" s="151" t="s">
        <v>16</v>
      </c>
      <c r="N4" s="169"/>
      <c r="O4" s="151"/>
    </row>
    <row r="5" spans="1:15" ht="12" customHeight="1" thickBot="1" x14ac:dyDescent="0.2">
      <c r="A5" s="164"/>
      <c r="B5" s="143"/>
      <c r="C5" s="167"/>
      <c r="D5" s="167"/>
      <c r="E5" s="167"/>
      <c r="F5" s="167"/>
      <c r="G5" s="147"/>
      <c r="H5" s="164"/>
      <c r="I5" s="143"/>
      <c r="J5" s="143"/>
      <c r="K5" s="143"/>
      <c r="L5" s="143"/>
      <c r="M5" s="152"/>
      <c r="N5" s="170"/>
      <c r="O5" s="152"/>
    </row>
    <row r="6" spans="1:15" ht="12" customHeight="1" x14ac:dyDescent="0.15">
      <c r="A6" s="92" t="s">
        <v>15</v>
      </c>
      <c r="B6" s="144" t="s">
        <v>14</v>
      </c>
      <c r="C6" s="62" t="s">
        <v>79</v>
      </c>
      <c r="D6" s="62" t="s">
        <v>39</v>
      </c>
      <c r="E6" s="62" t="s">
        <v>10</v>
      </c>
      <c r="F6" s="62">
        <v>4</v>
      </c>
      <c r="G6" s="63">
        <v>4</v>
      </c>
      <c r="H6" s="64">
        <v>4</v>
      </c>
      <c r="I6" s="62"/>
      <c r="J6" s="62"/>
      <c r="K6" s="62"/>
      <c r="L6" s="62"/>
      <c r="M6" s="65"/>
      <c r="N6" s="141">
        <f>SUM(H6:M10)</f>
        <v>20</v>
      </c>
      <c r="O6" s="153">
        <v>8</v>
      </c>
    </row>
    <row r="7" spans="1:15" ht="12" customHeight="1" x14ac:dyDescent="0.15">
      <c r="A7" s="93"/>
      <c r="B7" s="109"/>
      <c r="C7" s="66" t="s">
        <v>80</v>
      </c>
      <c r="D7" s="66" t="s">
        <v>39</v>
      </c>
      <c r="E7" s="66" t="s">
        <v>47</v>
      </c>
      <c r="F7" s="66">
        <v>4</v>
      </c>
      <c r="G7" s="67">
        <v>4</v>
      </c>
      <c r="H7" s="68"/>
      <c r="I7" s="66">
        <v>4</v>
      </c>
      <c r="J7" s="66"/>
      <c r="K7" s="66"/>
      <c r="L7" s="66"/>
      <c r="M7" s="69"/>
      <c r="N7" s="136"/>
      <c r="O7" s="134"/>
    </row>
    <row r="8" spans="1:15" ht="12" customHeight="1" x14ac:dyDescent="0.15">
      <c r="A8" s="93"/>
      <c r="B8" s="109"/>
      <c r="C8" s="66" t="s">
        <v>42</v>
      </c>
      <c r="D8" s="66" t="s">
        <v>39</v>
      </c>
      <c r="E8" s="66" t="s">
        <v>2</v>
      </c>
      <c r="F8" s="66">
        <v>4</v>
      </c>
      <c r="G8" s="67">
        <v>4</v>
      </c>
      <c r="H8" s="68"/>
      <c r="I8" s="66"/>
      <c r="J8" s="66">
        <v>4</v>
      </c>
      <c r="K8" s="66"/>
      <c r="L8" s="66"/>
      <c r="M8" s="69"/>
      <c r="N8" s="136"/>
      <c r="O8" s="134"/>
    </row>
    <row r="9" spans="1:15" ht="12" customHeight="1" x14ac:dyDescent="0.15">
      <c r="A9" s="93"/>
      <c r="B9" s="109"/>
      <c r="C9" s="66" t="s">
        <v>44</v>
      </c>
      <c r="D9" s="66" t="s">
        <v>39</v>
      </c>
      <c r="E9" s="66" t="s">
        <v>2</v>
      </c>
      <c r="F9" s="66">
        <v>4</v>
      </c>
      <c r="G9" s="70">
        <v>4</v>
      </c>
      <c r="H9" s="68"/>
      <c r="I9" s="66"/>
      <c r="J9" s="66"/>
      <c r="K9" s="66">
        <v>4</v>
      </c>
      <c r="L9" s="71"/>
      <c r="M9" s="72"/>
      <c r="N9" s="136"/>
      <c r="O9" s="134"/>
    </row>
    <row r="10" spans="1:15" ht="12" customHeight="1" x14ac:dyDescent="0.15">
      <c r="A10" s="93"/>
      <c r="B10" s="109"/>
      <c r="C10" s="66" t="s">
        <v>43</v>
      </c>
      <c r="D10" s="66" t="s">
        <v>39</v>
      </c>
      <c r="E10" s="66" t="s">
        <v>2</v>
      </c>
      <c r="F10" s="66">
        <v>4</v>
      </c>
      <c r="G10" s="70">
        <v>4</v>
      </c>
      <c r="H10" s="68"/>
      <c r="I10" s="66"/>
      <c r="J10" s="66"/>
      <c r="K10" s="66"/>
      <c r="L10" s="71">
        <v>4</v>
      </c>
      <c r="M10" s="72"/>
      <c r="N10" s="136"/>
      <c r="O10" s="134"/>
    </row>
    <row r="11" spans="1:15" ht="12" customHeight="1" x14ac:dyDescent="0.15">
      <c r="A11" s="93"/>
      <c r="B11" s="109" t="s">
        <v>13</v>
      </c>
      <c r="C11" s="66" t="s">
        <v>45</v>
      </c>
      <c r="D11" s="66" t="s">
        <v>39</v>
      </c>
      <c r="E11" s="66" t="s">
        <v>10</v>
      </c>
      <c r="F11" s="66">
        <v>4</v>
      </c>
      <c r="G11" s="67">
        <v>4</v>
      </c>
      <c r="H11" s="68">
        <v>4</v>
      </c>
      <c r="I11" s="66"/>
      <c r="J11" s="66"/>
      <c r="K11" s="66"/>
      <c r="L11" s="66"/>
      <c r="M11" s="69"/>
      <c r="N11" s="140">
        <f>SUM(H11:M15)</f>
        <v>20</v>
      </c>
      <c r="O11" s="134">
        <v>8</v>
      </c>
    </row>
    <row r="12" spans="1:15" ht="12" customHeight="1" x14ac:dyDescent="0.15">
      <c r="A12" s="93"/>
      <c r="B12" s="109"/>
      <c r="C12" s="66" t="s">
        <v>46</v>
      </c>
      <c r="D12" s="66" t="s">
        <v>39</v>
      </c>
      <c r="E12" s="66" t="s">
        <v>10</v>
      </c>
      <c r="F12" s="66">
        <v>4</v>
      </c>
      <c r="G12" s="67">
        <v>4</v>
      </c>
      <c r="H12" s="68"/>
      <c r="I12" s="66">
        <v>4</v>
      </c>
      <c r="J12" s="66"/>
      <c r="K12" s="66"/>
      <c r="L12" s="66"/>
      <c r="M12" s="69"/>
      <c r="N12" s="140"/>
      <c r="O12" s="134"/>
    </row>
    <row r="13" spans="1:15" ht="12" customHeight="1" x14ac:dyDescent="0.15">
      <c r="A13" s="93"/>
      <c r="B13" s="109"/>
      <c r="C13" s="66" t="s">
        <v>48</v>
      </c>
      <c r="D13" s="66" t="s">
        <v>39</v>
      </c>
      <c r="E13" s="66" t="s">
        <v>2</v>
      </c>
      <c r="F13" s="66">
        <v>4</v>
      </c>
      <c r="G13" s="67">
        <v>4</v>
      </c>
      <c r="H13" s="68"/>
      <c r="I13" s="66"/>
      <c r="J13" s="66">
        <v>4</v>
      </c>
      <c r="K13" s="66"/>
      <c r="L13" s="66"/>
      <c r="M13" s="69"/>
      <c r="N13" s="140"/>
      <c r="O13" s="134"/>
    </row>
    <row r="14" spans="1:15" ht="12" customHeight="1" x14ac:dyDescent="0.15">
      <c r="A14" s="93"/>
      <c r="B14" s="109"/>
      <c r="C14" s="66" t="s">
        <v>49</v>
      </c>
      <c r="D14" s="66" t="s">
        <v>39</v>
      </c>
      <c r="E14" s="66" t="s">
        <v>2</v>
      </c>
      <c r="F14" s="66">
        <v>4</v>
      </c>
      <c r="G14" s="67">
        <v>4</v>
      </c>
      <c r="H14" s="68"/>
      <c r="I14" s="66"/>
      <c r="J14" s="66"/>
      <c r="K14" s="66">
        <v>4</v>
      </c>
      <c r="L14" s="66"/>
      <c r="M14" s="69"/>
      <c r="N14" s="140"/>
      <c r="O14" s="134"/>
    </row>
    <row r="15" spans="1:15" ht="12" customHeight="1" x14ac:dyDescent="0.15">
      <c r="A15" s="93"/>
      <c r="B15" s="109"/>
      <c r="C15" s="66" t="s">
        <v>50</v>
      </c>
      <c r="D15" s="66" t="s">
        <v>39</v>
      </c>
      <c r="E15" s="66" t="s">
        <v>26</v>
      </c>
      <c r="F15" s="66">
        <v>4</v>
      </c>
      <c r="G15" s="67">
        <v>4</v>
      </c>
      <c r="H15" s="68"/>
      <c r="I15" s="66"/>
      <c r="J15" s="66"/>
      <c r="K15" s="66"/>
      <c r="L15" s="66">
        <v>4</v>
      </c>
      <c r="M15" s="69"/>
      <c r="N15" s="136"/>
      <c r="O15" s="134"/>
    </row>
    <row r="16" spans="1:15" ht="12" customHeight="1" x14ac:dyDescent="0.15">
      <c r="A16" s="93"/>
      <c r="B16" s="98" t="s">
        <v>12</v>
      </c>
      <c r="C16" s="66" t="s">
        <v>52</v>
      </c>
      <c r="D16" s="66" t="s">
        <v>39</v>
      </c>
      <c r="E16" s="66" t="s">
        <v>10</v>
      </c>
      <c r="F16" s="66">
        <v>4</v>
      </c>
      <c r="G16" s="67">
        <v>4</v>
      </c>
      <c r="H16" s="68">
        <v>4</v>
      </c>
      <c r="I16" s="66"/>
      <c r="J16" s="66"/>
      <c r="K16" s="66"/>
      <c r="L16" s="66"/>
      <c r="M16" s="69"/>
      <c r="N16" s="128">
        <f>SUM(H16:M20)</f>
        <v>20</v>
      </c>
      <c r="O16" s="131">
        <v>8</v>
      </c>
    </row>
    <row r="17" spans="1:15" ht="12" customHeight="1" x14ac:dyDescent="0.15">
      <c r="A17" s="93"/>
      <c r="B17" s="99"/>
      <c r="C17" s="66" t="s">
        <v>51</v>
      </c>
      <c r="D17" s="66" t="s">
        <v>39</v>
      </c>
      <c r="E17" s="66" t="s">
        <v>10</v>
      </c>
      <c r="F17" s="66">
        <v>4</v>
      </c>
      <c r="G17" s="67">
        <v>4</v>
      </c>
      <c r="H17" s="68"/>
      <c r="I17" s="66">
        <v>4</v>
      </c>
      <c r="J17" s="66"/>
      <c r="K17" s="66"/>
      <c r="L17" s="66"/>
      <c r="M17" s="69"/>
      <c r="N17" s="129"/>
      <c r="O17" s="132"/>
    </row>
    <row r="18" spans="1:15" ht="12" customHeight="1" x14ac:dyDescent="0.15">
      <c r="A18" s="93"/>
      <c r="B18" s="99"/>
      <c r="C18" s="66" t="s">
        <v>53</v>
      </c>
      <c r="D18" s="66" t="s">
        <v>39</v>
      </c>
      <c r="E18" s="66" t="s">
        <v>2</v>
      </c>
      <c r="F18" s="66">
        <v>4</v>
      </c>
      <c r="G18" s="67">
        <v>4</v>
      </c>
      <c r="H18" s="68"/>
      <c r="I18" s="66"/>
      <c r="J18" s="73">
        <v>4</v>
      </c>
      <c r="K18" s="66"/>
      <c r="L18" s="66"/>
      <c r="M18" s="69"/>
      <c r="N18" s="129"/>
      <c r="O18" s="132"/>
    </row>
    <row r="19" spans="1:15" ht="12" customHeight="1" x14ac:dyDescent="0.15">
      <c r="A19" s="93"/>
      <c r="B19" s="99"/>
      <c r="C19" s="66" t="s">
        <v>54</v>
      </c>
      <c r="D19" s="66" t="s">
        <v>39</v>
      </c>
      <c r="E19" s="66" t="s">
        <v>2</v>
      </c>
      <c r="F19" s="66">
        <v>4</v>
      </c>
      <c r="G19" s="67">
        <v>4</v>
      </c>
      <c r="H19" s="68"/>
      <c r="I19" s="66"/>
      <c r="J19" s="73"/>
      <c r="K19" s="66">
        <v>4</v>
      </c>
      <c r="L19" s="71"/>
      <c r="M19" s="69"/>
      <c r="N19" s="129"/>
      <c r="O19" s="132"/>
    </row>
    <row r="20" spans="1:15" ht="12" customHeight="1" x14ac:dyDescent="0.15">
      <c r="A20" s="93"/>
      <c r="B20" s="100"/>
      <c r="C20" s="66" t="s">
        <v>55</v>
      </c>
      <c r="D20" s="66" t="s">
        <v>39</v>
      </c>
      <c r="E20" s="66" t="s">
        <v>26</v>
      </c>
      <c r="F20" s="66">
        <v>4</v>
      </c>
      <c r="G20" s="67">
        <v>4</v>
      </c>
      <c r="H20" s="68"/>
      <c r="I20" s="66"/>
      <c r="J20" s="73"/>
      <c r="K20" s="66"/>
      <c r="L20" s="71">
        <v>4</v>
      </c>
      <c r="M20" s="69"/>
      <c r="N20" s="130"/>
      <c r="O20" s="133"/>
    </row>
    <row r="21" spans="1:15" ht="12" customHeight="1" x14ac:dyDescent="0.15">
      <c r="A21" s="93"/>
      <c r="B21" s="98" t="s">
        <v>56</v>
      </c>
      <c r="C21" s="66" t="s">
        <v>57</v>
      </c>
      <c r="D21" s="66" t="s">
        <v>39</v>
      </c>
      <c r="E21" s="66" t="s">
        <v>10</v>
      </c>
      <c r="F21" s="66">
        <v>3</v>
      </c>
      <c r="G21" s="67">
        <v>3</v>
      </c>
      <c r="H21" s="74">
        <v>3</v>
      </c>
      <c r="I21" s="71"/>
      <c r="J21" s="71"/>
      <c r="K21" s="75"/>
      <c r="L21" s="66"/>
      <c r="M21" s="69"/>
      <c r="N21" s="128">
        <v>6</v>
      </c>
      <c r="O21" s="137">
        <v>6</v>
      </c>
    </row>
    <row r="22" spans="1:15" ht="12" customHeight="1" x14ac:dyDescent="0.15">
      <c r="A22" s="93"/>
      <c r="B22" s="99"/>
      <c r="C22" s="66" t="s">
        <v>58</v>
      </c>
      <c r="D22" s="66" t="s">
        <v>39</v>
      </c>
      <c r="E22" s="66" t="s">
        <v>10</v>
      </c>
      <c r="F22" s="66">
        <v>3</v>
      </c>
      <c r="G22" s="67">
        <v>3</v>
      </c>
      <c r="H22" s="74"/>
      <c r="I22" s="71">
        <v>3</v>
      </c>
      <c r="J22" s="71"/>
      <c r="K22" s="75"/>
      <c r="L22" s="66"/>
      <c r="M22" s="69"/>
      <c r="N22" s="130"/>
      <c r="O22" s="138"/>
    </row>
    <row r="23" spans="1:15" ht="12" customHeight="1" x14ac:dyDescent="0.15">
      <c r="A23" s="93"/>
      <c r="B23" s="99"/>
      <c r="C23" s="66" t="s">
        <v>59</v>
      </c>
      <c r="D23" s="66" t="s">
        <v>39</v>
      </c>
      <c r="E23" s="66" t="s">
        <v>10</v>
      </c>
      <c r="F23" s="66">
        <v>4</v>
      </c>
      <c r="G23" s="67">
        <v>4</v>
      </c>
      <c r="H23" s="74">
        <v>4</v>
      </c>
      <c r="I23" s="71"/>
      <c r="J23" s="71"/>
      <c r="K23" s="75"/>
      <c r="L23" s="66"/>
      <c r="M23" s="69"/>
      <c r="N23" s="128">
        <v>8</v>
      </c>
      <c r="O23" s="131">
        <v>8</v>
      </c>
    </row>
    <row r="24" spans="1:15" ht="12" customHeight="1" x14ac:dyDescent="0.15">
      <c r="A24" s="93"/>
      <c r="B24" s="139"/>
      <c r="C24" s="66" t="s">
        <v>60</v>
      </c>
      <c r="D24" s="66" t="s">
        <v>39</v>
      </c>
      <c r="E24" s="66" t="s">
        <v>10</v>
      </c>
      <c r="F24" s="66">
        <v>4</v>
      </c>
      <c r="G24" s="67">
        <v>4</v>
      </c>
      <c r="H24" s="68"/>
      <c r="I24" s="66">
        <v>4</v>
      </c>
      <c r="J24" s="66"/>
      <c r="K24" s="66"/>
      <c r="L24" s="76"/>
      <c r="M24" s="77"/>
      <c r="N24" s="130"/>
      <c r="O24" s="133"/>
    </row>
    <row r="25" spans="1:15" ht="12" customHeight="1" x14ac:dyDescent="0.15">
      <c r="A25" s="93"/>
      <c r="B25" s="109" t="s">
        <v>11</v>
      </c>
      <c r="C25" s="66" t="s">
        <v>61</v>
      </c>
      <c r="D25" s="66" t="s">
        <v>39</v>
      </c>
      <c r="E25" s="66" t="s">
        <v>10</v>
      </c>
      <c r="F25" s="66">
        <v>4</v>
      </c>
      <c r="G25" s="67">
        <v>4</v>
      </c>
      <c r="H25" s="68">
        <v>4</v>
      </c>
      <c r="I25" s="66"/>
      <c r="J25" s="66"/>
      <c r="K25" s="66"/>
      <c r="L25" s="76"/>
      <c r="M25" s="77"/>
      <c r="N25" s="140">
        <f>SUM(H25:M28)</f>
        <v>10</v>
      </c>
      <c r="O25" s="134">
        <v>10</v>
      </c>
    </row>
    <row r="26" spans="1:15" ht="12" customHeight="1" x14ac:dyDescent="0.15">
      <c r="A26" s="93"/>
      <c r="B26" s="109"/>
      <c r="C26" s="66" t="s">
        <v>62</v>
      </c>
      <c r="D26" s="66" t="s">
        <v>39</v>
      </c>
      <c r="E26" s="66" t="s">
        <v>10</v>
      </c>
      <c r="F26" s="66">
        <v>4</v>
      </c>
      <c r="G26" s="67">
        <v>4</v>
      </c>
      <c r="H26" s="68"/>
      <c r="I26" s="66">
        <v>4</v>
      </c>
      <c r="J26" s="66"/>
      <c r="K26" s="66"/>
      <c r="L26" s="76"/>
      <c r="M26" s="77"/>
      <c r="N26" s="140"/>
      <c r="O26" s="134"/>
    </row>
    <row r="27" spans="1:15" ht="12" customHeight="1" x14ac:dyDescent="0.15">
      <c r="A27" s="93"/>
      <c r="B27" s="109"/>
      <c r="C27" s="66" t="s">
        <v>63</v>
      </c>
      <c r="D27" s="66" t="s">
        <v>39</v>
      </c>
      <c r="E27" s="66" t="s">
        <v>10</v>
      </c>
      <c r="F27" s="66">
        <v>1</v>
      </c>
      <c r="G27" s="67">
        <v>1</v>
      </c>
      <c r="H27" s="68">
        <v>1</v>
      </c>
      <c r="I27" s="66"/>
      <c r="J27" s="66"/>
      <c r="K27" s="66"/>
      <c r="L27" s="76"/>
      <c r="M27" s="77"/>
      <c r="N27" s="140"/>
      <c r="O27" s="134"/>
    </row>
    <row r="28" spans="1:15" ht="12" customHeight="1" x14ac:dyDescent="0.15">
      <c r="A28" s="93"/>
      <c r="B28" s="109"/>
      <c r="C28" s="66" t="s">
        <v>64</v>
      </c>
      <c r="D28" s="66" t="s">
        <v>39</v>
      </c>
      <c r="E28" s="66" t="s">
        <v>10</v>
      </c>
      <c r="F28" s="66">
        <v>1</v>
      </c>
      <c r="G28" s="67">
        <v>1</v>
      </c>
      <c r="H28" s="68"/>
      <c r="I28" s="66">
        <v>1</v>
      </c>
      <c r="J28" s="66"/>
      <c r="K28" s="66"/>
      <c r="L28" s="76"/>
      <c r="M28" s="77"/>
      <c r="N28" s="140"/>
      <c r="O28" s="134"/>
    </row>
    <row r="29" spans="1:15" ht="12" customHeight="1" x14ac:dyDescent="0.15">
      <c r="A29" s="93"/>
      <c r="B29" s="135" t="s">
        <v>9</v>
      </c>
      <c r="C29" s="66" t="s">
        <v>65</v>
      </c>
      <c r="D29" s="66" t="s">
        <v>39</v>
      </c>
      <c r="E29" s="66" t="s">
        <v>2</v>
      </c>
      <c r="F29" s="66">
        <v>3</v>
      </c>
      <c r="G29" s="67">
        <v>2</v>
      </c>
      <c r="H29" s="68">
        <v>2</v>
      </c>
      <c r="I29" s="66"/>
      <c r="J29" s="66"/>
      <c r="K29" s="66"/>
      <c r="L29" s="66"/>
      <c r="M29" s="69"/>
      <c r="N29" s="136">
        <f>SUM(H29:M34)</f>
        <v>10</v>
      </c>
      <c r="O29" s="134">
        <v>10</v>
      </c>
    </row>
    <row r="30" spans="1:15" ht="12" customHeight="1" x14ac:dyDescent="0.15">
      <c r="A30" s="93"/>
      <c r="B30" s="135"/>
      <c r="C30" s="66" t="s">
        <v>66</v>
      </c>
      <c r="D30" s="66" t="s">
        <v>39</v>
      </c>
      <c r="E30" s="66" t="s">
        <v>26</v>
      </c>
      <c r="F30" s="66">
        <v>3</v>
      </c>
      <c r="G30" s="67">
        <v>2</v>
      </c>
      <c r="H30" s="68"/>
      <c r="I30" s="66">
        <v>2</v>
      </c>
      <c r="J30" s="66"/>
      <c r="K30" s="66"/>
      <c r="L30" s="66"/>
      <c r="M30" s="69"/>
      <c r="N30" s="136"/>
      <c r="O30" s="134"/>
    </row>
    <row r="31" spans="1:15" ht="12" customHeight="1" x14ac:dyDescent="0.15">
      <c r="A31" s="93"/>
      <c r="B31" s="135"/>
      <c r="C31" s="66" t="s">
        <v>89</v>
      </c>
      <c r="D31" s="66" t="s">
        <v>39</v>
      </c>
      <c r="E31" s="66" t="s">
        <v>27</v>
      </c>
      <c r="F31" s="66">
        <v>2</v>
      </c>
      <c r="G31" s="67">
        <v>1</v>
      </c>
      <c r="H31" s="68"/>
      <c r="I31" s="66"/>
      <c r="J31" s="66">
        <v>1</v>
      </c>
      <c r="K31" s="66"/>
      <c r="L31" s="66"/>
      <c r="M31" s="69"/>
      <c r="N31" s="136"/>
      <c r="O31" s="134"/>
    </row>
    <row r="32" spans="1:15" ht="12" customHeight="1" x14ac:dyDescent="0.15">
      <c r="A32" s="93"/>
      <c r="B32" s="135"/>
      <c r="C32" s="66" t="s">
        <v>67</v>
      </c>
      <c r="D32" s="66" t="s">
        <v>39</v>
      </c>
      <c r="E32" s="66" t="s">
        <v>27</v>
      </c>
      <c r="F32" s="66">
        <v>2</v>
      </c>
      <c r="G32" s="67">
        <v>1</v>
      </c>
      <c r="H32" s="68"/>
      <c r="I32" s="66"/>
      <c r="J32" s="66"/>
      <c r="K32" s="66">
        <v>1</v>
      </c>
      <c r="L32" s="66"/>
      <c r="M32" s="69"/>
      <c r="N32" s="136"/>
      <c r="O32" s="134"/>
    </row>
    <row r="33" spans="1:15" ht="12" customHeight="1" x14ac:dyDescent="0.15">
      <c r="A33" s="93"/>
      <c r="B33" s="135"/>
      <c r="C33" s="66" t="s">
        <v>68</v>
      </c>
      <c r="D33" s="66" t="s">
        <v>39</v>
      </c>
      <c r="E33" s="66" t="s">
        <v>69</v>
      </c>
      <c r="F33" s="66">
        <v>3</v>
      </c>
      <c r="G33" s="67">
        <v>2</v>
      </c>
      <c r="H33" s="68"/>
      <c r="I33" s="66"/>
      <c r="J33" s="66"/>
      <c r="K33" s="66"/>
      <c r="L33" s="66">
        <v>2</v>
      </c>
      <c r="M33" s="69"/>
      <c r="N33" s="136"/>
      <c r="O33" s="134"/>
    </row>
    <row r="34" spans="1:15" ht="12" customHeight="1" x14ac:dyDescent="0.15">
      <c r="A34" s="93"/>
      <c r="B34" s="135"/>
      <c r="C34" s="66" t="s">
        <v>88</v>
      </c>
      <c r="D34" s="66" t="s">
        <v>39</v>
      </c>
      <c r="E34" s="66" t="s">
        <v>69</v>
      </c>
      <c r="F34" s="66">
        <v>3</v>
      </c>
      <c r="G34" s="67">
        <v>2</v>
      </c>
      <c r="H34" s="68"/>
      <c r="I34" s="66"/>
      <c r="J34" s="66"/>
      <c r="K34" s="66"/>
      <c r="L34" s="66"/>
      <c r="M34" s="69">
        <v>2</v>
      </c>
      <c r="N34" s="136"/>
      <c r="O34" s="134"/>
    </row>
    <row r="35" spans="1:15" ht="12" customHeight="1" x14ac:dyDescent="0.15">
      <c r="A35" s="93"/>
      <c r="B35" s="98" t="s">
        <v>8</v>
      </c>
      <c r="C35" s="66" t="s">
        <v>7</v>
      </c>
      <c r="D35" s="66" t="s">
        <v>39</v>
      </c>
      <c r="E35" s="66" t="s">
        <v>2</v>
      </c>
      <c r="F35" s="66">
        <v>3</v>
      </c>
      <c r="G35" s="67">
        <v>2</v>
      </c>
      <c r="H35" s="68">
        <v>2</v>
      </c>
      <c r="I35" s="66"/>
      <c r="J35" s="71"/>
      <c r="K35" s="71"/>
      <c r="L35" s="71"/>
      <c r="M35" s="72"/>
      <c r="N35" s="172">
        <v>8</v>
      </c>
      <c r="O35" s="137">
        <v>10</v>
      </c>
    </row>
    <row r="36" spans="1:15" ht="12" customHeight="1" x14ac:dyDescent="0.15">
      <c r="A36" s="93"/>
      <c r="B36" s="99"/>
      <c r="C36" s="66" t="s">
        <v>70</v>
      </c>
      <c r="D36" s="66" t="s">
        <v>40</v>
      </c>
      <c r="E36" s="66" t="s">
        <v>41</v>
      </c>
      <c r="F36" s="66">
        <v>3</v>
      </c>
      <c r="G36" s="67">
        <v>2</v>
      </c>
      <c r="H36" s="68"/>
      <c r="I36" s="66">
        <v>2</v>
      </c>
      <c r="J36" s="71"/>
      <c r="K36" s="71"/>
      <c r="L36" s="71"/>
      <c r="M36" s="72"/>
      <c r="N36" s="173"/>
      <c r="O36" s="175"/>
    </row>
    <row r="37" spans="1:15" ht="12" customHeight="1" x14ac:dyDescent="0.15">
      <c r="A37" s="93"/>
      <c r="B37" s="99"/>
      <c r="C37" s="66" t="s">
        <v>6</v>
      </c>
      <c r="D37" s="66" t="s">
        <v>39</v>
      </c>
      <c r="E37" s="66" t="s">
        <v>26</v>
      </c>
      <c r="F37" s="66">
        <v>3</v>
      </c>
      <c r="G37" s="67">
        <v>2</v>
      </c>
      <c r="H37" s="68">
        <v>2</v>
      </c>
      <c r="I37" s="66"/>
      <c r="J37" s="71"/>
      <c r="K37" s="71"/>
      <c r="L37" s="71"/>
      <c r="M37" s="72"/>
      <c r="N37" s="173"/>
      <c r="O37" s="175"/>
    </row>
    <row r="38" spans="1:15" ht="12" customHeight="1" x14ac:dyDescent="0.15">
      <c r="A38" s="93"/>
      <c r="B38" s="100"/>
      <c r="C38" s="66" t="s">
        <v>71</v>
      </c>
      <c r="D38" s="66" t="s">
        <v>39</v>
      </c>
      <c r="E38" s="66" t="s">
        <v>27</v>
      </c>
      <c r="F38" s="66">
        <v>3</v>
      </c>
      <c r="G38" s="67">
        <v>2</v>
      </c>
      <c r="H38" s="68"/>
      <c r="I38" s="66">
        <v>2</v>
      </c>
      <c r="J38" s="71"/>
      <c r="K38" s="71"/>
      <c r="L38" s="71"/>
      <c r="M38" s="72"/>
      <c r="N38" s="174"/>
      <c r="O38" s="138"/>
    </row>
    <row r="39" spans="1:15" ht="13.5" customHeight="1" x14ac:dyDescent="0.15">
      <c r="A39" s="93"/>
      <c r="B39" s="98" t="s">
        <v>100</v>
      </c>
      <c r="C39" s="78" t="s">
        <v>76</v>
      </c>
      <c r="D39" s="66" t="s">
        <v>39</v>
      </c>
      <c r="E39" s="79" t="s">
        <v>26</v>
      </c>
      <c r="F39" s="79">
        <v>4</v>
      </c>
      <c r="G39" s="80">
        <v>3</v>
      </c>
      <c r="H39" s="81"/>
      <c r="I39" s="82"/>
      <c r="J39" s="83">
        <v>3</v>
      </c>
      <c r="K39" s="84" t="s">
        <v>87</v>
      </c>
      <c r="L39" s="71"/>
      <c r="M39" s="72"/>
      <c r="N39" s="172">
        <v>12</v>
      </c>
      <c r="O39" s="137">
        <v>16</v>
      </c>
    </row>
    <row r="40" spans="1:15" x14ac:dyDescent="0.15">
      <c r="A40" s="93"/>
      <c r="B40" s="100"/>
      <c r="C40" s="78" t="s">
        <v>77</v>
      </c>
      <c r="D40" s="66" t="s">
        <v>39</v>
      </c>
      <c r="E40" s="79" t="s">
        <v>26</v>
      </c>
      <c r="F40" s="79">
        <v>4</v>
      </c>
      <c r="G40" s="80">
        <v>3</v>
      </c>
      <c r="H40" s="81"/>
      <c r="I40" s="82"/>
      <c r="J40" s="84" t="s">
        <v>87</v>
      </c>
      <c r="K40" s="83">
        <v>3</v>
      </c>
      <c r="L40" s="71"/>
      <c r="M40" s="72"/>
      <c r="N40" s="173"/>
      <c r="O40" s="175"/>
    </row>
    <row r="41" spans="1:15" x14ac:dyDescent="0.15">
      <c r="A41" s="93"/>
      <c r="B41" s="98" t="s">
        <v>101</v>
      </c>
      <c r="C41" s="78" t="s">
        <v>102</v>
      </c>
      <c r="D41" s="66" t="s">
        <v>39</v>
      </c>
      <c r="E41" s="79" t="s">
        <v>26</v>
      </c>
      <c r="F41" s="79">
        <v>4</v>
      </c>
      <c r="G41" s="80">
        <v>3</v>
      </c>
      <c r="H41" s="81"/>
      <c r="I41" s="82"/>
      <c r="J41" s="83">
        <v>3</v>
      </c>
      <c r="K41" s="84" t="s">
        <v>87</v>
      </c>
      <c r="L41" s="71"/>
      <c r="M41" s="72"/>
      <c r="N41" s="173"/>
      <c r="O41" s="175"/>
    </row>
    <row r="42" spans="1:15" ht="15" customHeight="1" thickBot="1" x14ac:dyDescent="0.2">
      <c r="A42" s="93"/>
      <c r="B42" s="110"/>
      <c r="C42" s="78" t="s">
        <v>103</v>
      </c>
      <c r="D42" s="66" t="s">
        <v>39</v>
      </c>
      <c r="E42" s="79" t="s">
        <v>26</v>
      </c>
      <c r="F42" s="79">
        <v>4</v>
      </c>
      <c r="G42" s="80">
        <v>3</v>
      </c>
      <c r="H42" s="81"/>
      <c r="I42" s="82"/>
      <c r="J42" s="84" t="s">
        <v>87</v>
      </c>
      <c r="K42" s="83">
        <v>3</v>
      </c>
      <c r="L42" s="71"/>
      <c r="M42" s="72"/>
      <c r="N42" s="176"/>
      <c r="O42" s="177"/>
    </row>
    <row r="43" spans="1:15" ht="12" customHeight="1" thickBot="1" x14ac:dyDescent="0.2">
      <c r="A43" s="94"/>
      <c r="B43" s="95"/>
      <c r="C43" s="96"/>
      <c r="D43" s="96"/>
      <c r="E43" s="97"/>
      <c r="F43" s="85"/>
      <c r="G43" s="85"/>
      <c r="H43" s="85">
        <f t="shared" ref="H43:O43" si="0">SUM(H6:H42)</f>
        <v>30</v>
      </c>
      <c r="I43" s="85">
        <f t="shared" si="0"/>
        <v>30</v>
      </c>
      <c r="J43" s="85">
        <f t="shared" si="0"/>
        <v>19</v>
      </c>
      <c r="K43" s="85">
        <f t="shared" si="0"/>
        <v>19</v>
      </c>
      <c r="L43" s="85">
        <f t="shared" si="0"/>
        <v>14</v>
      </c>
      <c r="M43" s="85">
        <f t="shared" si="0"/>
        <v>2</v>
      </c>
      <c r="N43" s="11">
        <f>SUM(N6:N42)</f>
        <v>114</v>
      </c>
      <c r="O43" s="12">
        <f t="shared" si="0"/>
        <v>84</v>
      </c>
    </row>
    <row r="44" spans="1:15" ht="20.25" customHeight="1" x14ac:dyDescent="0.15">
      <c r="A44" s="89" t="s">
        <v>5</v>
      </c>
      <c r="B44" s="101" t="s">
        <v>4</v>
      </c>
      <c r="C44" s="58" t="s">
        <v>81</v>
      </c>
      <c r="D44" s="4" t="s">
        <v>1</v>
      </c>
      <c r="E44" s="58" t="s">
        <v>27</v>
      </c>
      <c r="F44" s="4">
        <v>4</v>
      </c>
      <c r="G44" s="15">
        <v>3</v>
      </c>
      <c r="H44" s="16"/>
      <c r="I44" s="17"/>
      <c r="J44" s="17"/>
      <c r="K44" s="17"/>
      <c r="L44" s="17">
        <v>3</v>
      </c>
      <c r="M44" s="18"/>
      <c r="N44" s="52">
        <f t="shared" ref="N44:N46" si="1">SUM(H44:M44)</f>
        <v>3</v>
      </c>
      <c r="O44" s="180">
        <f>SUM(N44:N63)</f>
        <v>60</v>
      </c>
    </row>
    <row r="45" spans="1:15" ht="20.25" customHeight="1" x14ac:dyDescent="0.15">
      <c r="A45" s="90"/>
      <c r="B45" s="102"/>
      <c r="C45" s="5" t="s">
        <v>85</v>
      </c>
      <c r="D45" s="5" t="s">
        <v>1</v>
      </c>
      <c r="E45" s="5" t="s">
        <v>27</v>
      </c>
      <c r="F45" s="5">
        <v>4</v>
      </c>
      <c r="G45" s="6">
        <v>3</v>
      </c>
      <c r="H45" s="7"/>
      <c r="I45" s="34"/>
      <c r="J45" s="34"/>
      <c r="K45" s="34"/>
      <c r="L45" s="34">
        <v>3</v>
      </c>
      <c r="M45" s="8"/>
      <c r="N45" s="53">
        <f t="shared" si="1"/>
        <v>3</v>
      </c>
      <c r="O45" s="181"/>
    </row>
    <row r="46" spans="1:15" ht="30.75" customHeight="1" x14ac:dyDescent="0.15">
      <c r="A46" s="90"/>
      <c r="B46" s="102"/>
      <c r="C46" s="60" t="s">
        <v>82</v>
      </c>
      <c r="D46" s="5" t="s">
        <v>25</v>
      </c>
      <c r="E46" s="5" t="s">
        <v>74</v>
      </c>
      <c r="F46" s="5">
        <v>4</v>
      </c>
      <c r="G46" s="6">
        <v>4</v>
      </c>
      <c r="H46" s="7"/>
      <c r="I46" s="34"/>
      <c r="J46" s="34"/>
      <c r="K46" s="34"/>
      <c r="L46" s="34"/>
      <c r="M46" s="8">
        <v>4</v>
      </c>
      <c r="N46" s="53">
        <f t="shared" si="1"/>
        <v>4</v>
      </c>
      <c r="O46" s="181"/>
    </row>
    <row r="47" spans="1:15" ht="27.75" customHeight="1" x14ac:dyDescent="0.15">
      <c r="A47" s="90"/>
      <c r="B47" s="102"/>
      <c r="C47" s="60" t="s">
        <v>83</v>
      </c>
      <c r="D47" s="5" t="s">
        <v>1</v>
      </c>
      <c r="E47" s="5" t="s">
        <v>74</v>
      </c>
      <c r="F47" s="5">
        <v>4</v>
      </c>
      <c r="G47" s="6">
        <v>4</v>
      </c>
      <c r="H47" s="7"/>
      <c r="I47" s="34"/>
      <c r="J47" s="34"/>
      <c r="K47" s="34"/>
      <c r="L47" s="34"/>
      <c r="M47" s="8">
        <v>4</v>
      </c>
      <c r="N47" s="54">
        <f t="shared" ref="N47:N57" si="2">SUM(H47:M47)</f>
        <v>4</v>
      </c>
      <c r="O47" s="181"/>
    </row>
    <row r="48" spans="1:15" ht="24" customHeight="1" x14ac:dyDescent="0.15">
      <c r="A48" s="90"/>
      <c r="B48" s="103"/>
      <c r="C48" s="60" t="s">
        <v>78</v>
      </c>
      <c r="D48" s="49" t="s">
        <v>1</v>
      </c>
      <c r="E48" s="5" t="s">
        <v>27</v>
      </c>
      <c r="F48" s="5">
        <v>4</v>
      </c>
      <c r="G48" s="48">
        <v>4</v>
      </c>
      <c r="H48" s="7"/>
      <c r="I48" s="45"/>
      <c r="J48" s="45"/>
      <c r="K48" s="43"/>
      <c r="L48" s="43"/>
      <c r="M48" s="50">
        <v>4</v>
      </c>
      <c r="N48" s="55">
        <v>4</v>
      </c>
      <c r="O48" s="181"/>
    </row>
    <row r="49" spans="1:15" ht="19.149999999999999" customHeight="1" x14ac:dyDescent="0.15">
      <c r="A49" s="90"/>
      <c r="B49" s="178" t="s">
        <v>3</v>
      </c>
      <c r="C49" s="184" t="s">
        <v>90</v>
      </c>
      <c r="D49" s="187" t="s">
        <v>91</v>
      </c>
      <c r="E49" s="190" t="s">
        <v>2</v>
      </c>
      <c r="F49" s="44">
        <v>4</v>
      </c>
      <c r="G49" s="36">
        <v>3</v>
      </c>
      <c r="H49" s="21"/>
      <c r="I49" s="44"/>
      <c r="J49" s="44">
        <v>3</v>
      </c>
      <c r="K49" s="45"/>
      <c r="L49" s="45"/>
      <c r="M49" s="8"/>
      <c r="N49" s="53">
        <f t="shared" si="2"/>
        <v>3</v>
      </c>
      <c r="O49" s="181"/>
    </row>
    <row r="50" spans="1:15" ht="19.149999999999999" customHeight="1" x14ac:dyDescent="0.15">
      <c r="A50" s="90"/>
      <c r="B50" s="183"/>
      <c r="C50" s="185"/>
      <c r="D50" s="188"/>
      <c r="E50" s="191"/>
      <c r="F50" s="34">
        <v>4</v>
      </c>
      <c r="G50" s="31">
        <v>3</v>
      </c>
      <c r="H50" s="7"/>
      <c r="I50" s="34"/>
      <c r="J50" s="34">
        <v>3</v>
      </c>
      <c r="K50" s="34"/>
      <c r="L50" s="34"/>
      <c r="M50" s="8"/>
      <c r="N50" s="53">
        <f t="shared" si="2"/>
        <v>3</v>
      </c>
      <c r="O50" s="181"/>
    </row>
    <row r="51" spans="1:15" ht="19.149999999999999" customHeight="1" x14ac:dyDescent="0.15">
      <c r="A51" s="90"/>
      <c r="B51" s="183"/>
      <c r="C51" s="185"/>
      <c r="D51" s="188"/>
      <c r="E51" s="191"/>
      <c r="F51" s="61">
        <v>4</v>
      </c>
      <c r="G51" s="36">
        <v>3</v>
      </c>
      <c r="H51" s="21"/>
      <c r="I51" s="61"/>
      <c r="J51" s="61">
        <v>3</v>
      </c>
      <c r="K51" s="61"/>
      <c r="L51" s="61"/>
      <c r="M51" s="24"/>
      <c r="N51" s="53">
        <v>3</v>
      </c>
      <c r="O51" s="181"/>
    </row>
    <row r="52" spans="1:15" ht="22.5" customHeight="1" x14ac:dyDescent="0.15">
      <c r="A52" s="90"/>
      <c r="B52" s="183"/>
      <c r="C52" s="186"/>
      <c r="D52" s="189"/>
      <c r="E52" s="192"/>
      <c r="F52" s="19">
        <v>4</v>
      </c>
      <c r="G52" s="20">
        <v>3</v>
      </c>
      <c r="H52" s="21"/>
      <c r="I52" s="22"/>
      <c r="J52" s="23">
        <v>3</v>
      </c>
      <c r="K52" s="23"/>
      <c r="L52" s="19"/>
      <c r="M52" s="35"/>
      <c r="N52" s="54">
        <f t="shared" si="2"/>
        <v>3</v>
      </c>
      <c r="O52" s="181"/>
    </row>
    <row r="53" spans="1:15" ht="19.149999999999999" customHeight="1" x14ac:dyDescent="0.15">
      <c r="A53" s="90"/>
      <c r="B53" s="183"/>
      <c r="C53" s="184" t="s">
        <v>92</v>
      </c>
      <c r="D53" s="187" t="s">
        <v>93</v>
      </c>
      <c r="E53" s="190" t="s">
        <v>27</v>
      </c>
      <c r="F53" s="34">
        <v>4</v>
      </c>
      <c r="G53" s="31">
        <v>3</v>
      </c>
      <c r="H53" s="7"/>
      <c r="I53" s="34"/>
      <c r="J53" s="34"/>
      <c r="K53" s="34">
        <v>3</v>
      </c>
      <c r="L53" s="34"/>
      <c r="M53" s="8"/>
      <c r="N53" s="53">
        <f t="shared" si="2"/>
        <v>3</v>
      </c>
      <c r="O53" s="181"/>
    </row>
    <row r="54" spans="1:15" ht="19.149999999999999" customHeight="1" x14ac:dyDescent="0.15">
      <c r="A54" s="90"/>
      <c r="B54" s="183"/>
      <c r="C54" s="185"/>
      <c r="D54" s="188"/>
      <c r="E54" s="191"/>
      <c r="F54" s="34">
        <v>4</v>
      </c>
      <c r="G54" s="31">
        <v>3</v>
      </c>
      <c r="H54" s="7"/>
      <c r="I54" s="34"/>
      <c r="J54" s="34"/>
      <c r="K54" s="34">
        <v>3</v>
      </c>
      <c r="L54" s="34"/>
      <c r="M54" s="8"/>
      <c r="N54" s="53">
        <f>SUM(H54:M54)</f>
        <v>3</v>
      </c>
      <c r="O54" s="181"/>
    </row>
    <row r="55" spans="1:15" ht="21" customHeight="1" x14ac:dyDescent="0.15">
      <c r="A55" s="90"/>
      <c r="B55" s="183"/>
      <c r="C55" s="186"/>
      <c r="D55" s="189"/>
      <c r="E55" s="192"/>
      <c r="F55" s="45">
        <v>4</v>
      </c>
      <c r="G55" s="31">
        <v>3</v>
      </c>
      <c r="H55" s="7"/>
      <c r="I55" s="45"/>
      <c r="J55" s="45"/>
      <c r="K55" s="45">
        <v>3</v>
      </c>
      <c r="L55" s="45"/>
      <c r="M55" s="8"/>
      <c r="N55" s="53">
        <f>SUM(H55:M55)</f>
        <v>3</v>
      </c>
      <c r="O55" s="181"/>
    </row>
    <row r="56" spans="1:15" ht="21" customHeight="1" x14ac:dyDescent="0.15">
      <c r="A56" s="90"/>
      <c r="B56" s="183"/>
      <c r="C56" s="104" t="s">
        <v>99</v>
      </c>
      <c r="D56" s="105" t="s">
        <v>31</v>
      </c>
      <c r="E56" s="107" t="s">
        <v>27</v>
      </c>
      <c r="F56" s="34">
        <v>4</v>
      </c>
      <c r="G56" s="31">
        <v>3</v>
      </c>
      <c r="H56" s="7"/>
      <c r="I56" s="32"/>
      <c r="J56" s="34"/>
      <c r="K56" s="34"/>
      <c r="L56" s="34">
        <v>3</v>
      </c>
      <c r="M56" s="8"/>
      <c r="N56" s="54">
        <f t="shared" si="2"/>
        <v>3</v>
      </c>
      <c r="O56" s="181"/>
    </row>
    <row r="57" spans="1:15" ht="23.25" customHeight="1" x14ac:dyDescent="0.15">
      <c r="A57" s="90"/>
      <c r="B57" s="183"/>
      <c r="C57" s="104"/>
      <c r="D57" s="106"/>
      <c r="E57" s="108"/>
      <c r="F57" s="34">
        <v>4</v>
      </c>
      <c r="G57" s="31">
        <v>3</v>
      </c>
      <c r="H57" s="7"/>
      <c r="I57" s="32"/>
      <c r="J57" s="34"/>
      <c r="K57" s="34"/>
      <c r="L57" s="34">
        <v>3</v>
      </c>
      <c r="M57" s="8"/>
      <c r="N57" s="54">
        <f t="shared" si="2"/>
        <v>3</v>
      </c>
      <c r="O57" s="181"/>
    </row>
    <row r="58" spans="1:15" ht="24" customHeight="1" x14ac:dyDescent="0.15">
      <c r="A58" s="90"/>
      <c r="B58" s="183"/>
      <c r="C58" s="104" t="s">
        <v>94</v>
      </c>
      <c r="D58" s="105" t="s">
        <v>31</v>
      </c>
      <c r="E58" s="107" t="s">
        <v>69</v>
      </c>
      <c r="F58" s="34">
        <v>4</v>
      </c>
      <c r="G58" s="31">
        <v>3</v>
      </c>
      <c r="H58" s="7"/>
      <c r="I58" s="32"/>
      <c r="J58" s="34"/>
      <c r="K58" s="34"/>
      <c r="L58" s="34"/>
      <c r="M58" s="8">
        <v>3</v>
      </c>
      <c r="N58" s="54">
        <f>SUM(H58:M58)</f>
        <v>3</v>
      </c>
      <c r="O58" s="181"/>
    </row>
    <row r="59" spans="1:15" ht="25.5" customHeight="1" x14ac:dyDescent="0.15">
      <c r="A59" s="90"/>
      <c r="B59" s="179"/>
      <c r="C59" s="104"/>
      <c r="D59" s="105"/>
      <c r="E59" s="107"/>
      <c r="F59" s="34">
        <v>4</v>
      </c>
      <c r="G59" s="31">
        <v>3</v>
      </c>
      <c r="H59" s="7"/>
      <c r="I59" s="32"/>
      <c r="J59" s="34"/>
      <c r="K59" s="34"/>
      <c r="L59" s="34"/>
      <c r="M59" s="8">
        <v>3</v>
      </c>
      <c r="N59" s="54">
        <f>SUM(H59:M59)</f>
        <v>3</v>
      </c>
      <c r="O59" s="181"/>
    </row>
    <row r="60" spans="1:15" ht="18" customHeight="1" x14ac:dyDescent="0.15">
      <c r="A60" s="90"/>
      <c r="B60" s="51" t="s">
        <v>72</v>
      </c>
      <c r="C60" s="78" t="s">
        <v>73</v>
      </c>
      <c r="D60" s="86" t="s">
        <v>25</v>
      </c>
      <c r="E60" s="19" t="s">
        <v>69</v>
      </c>
      <c r="F60" s="19">
        <v>3</v>
      </c>
      <c r="G60" s="20">
        <v>2</v>
      </c>
      <c r="H60" s="21"/>
      <c r="I60" s="22"/>
      <c r="J60" s="23"/>
      <c r="K60" s="23"/>
      <c r="L60" s="23"/>
      <c r="M60" s="24">
        <v>2</v>
      </c>
      <c r="N60" s="54">
        <f t="shared" ref="N60:N61" si="3">SUM(H60:M60)</f>
        <v>2</v>
      </c>
      <c r="O60" s="181"/>
    </row>
    <row r="61" spans="1:15" ht="24.75" customHeight="1" x14ac:dyDescent="0.15">
      <c r="A61" s="90"/>
      <c r="B61" s="178" t="s">
        <v>104</v>
      </c>
      <c r="C61" s="78" t="s">
        <v>95</v>
      </c>
      <c r="D61" s="86" t="s">
        <v>1</v>
      </c>
      <c r="E61" s="19" t="s">
        <v>97</v>
      </c>
      <c r="F61" s="19">
        <v>3</v>
      </c>
      <c r="G61" s="20">
        <v>2</v>
      </c>
      <c r="H61" s="21"/>
      <c r="I61" s="22"/>
      <c r="J61" s="57"/>
      <c r="K61" s="57"/>
      <c r="L61" s="19">
        <v>2</v>
      </c>
      <c r="M61" s="35"/>
      <c r="N61" s="54">
        <f t="shared" si="3"/>
        <v>2</v>
      </c>
      <c r="O61" s="181"/>
    </row>
    <row r="62" spans="1:15" ht="21.75" customHeight="1" thickBot="1" x14ac:dyDescent="0.2">
      <c r="A62" s="90"/>
      <c r="B62" s="179"/>
      <c r="C62" s="78" t="s">
        <v>96</v>
      </c>
      <c r="D62" s="86" t="s">
        <v>1</v>
      </c>
      <c r="E62" s="19" t="s">
        <v>74</v>
      </c>
      <c r="F62" s="19">
        <v>3</v>
      </c>
      <c r="G62" s="20">
        <v>2</v>
      </c>
      <c r="H62" s="21"/>
      <c r="I62" s="22"/>
      <c r="J62" s="57"/>
      <c r="K62" s="57"/>
      <c r="L62" s="19"/>
      <c r="M62" s="35">
        <v>2</v>
      </c>
      <c r="N62" s="56">
        <v>2</v>
      </c>
      <c r="O62" s="181"/>
    </row>
    <row r="63" spans="1:15" ht="36" customHeight="1" thickBot="1" x14ac:dyDescent="0.2">
      <c r="A63" s="91"/>
      <c r="B63" s="59" t="s">
        <v>84</v>
      </c>
      <c r="C63" s="87" t="s">
        <v>105</v>
      </c>
      <c r="D63" s="88" t="s">
        <v>1</v>
      </c>
      <c r="E63" s="5" t="s">
        <v>74</v>
      </c>
      <c r="F63" s="5">
        <v>4</v>
      </c>
      <c r="G63" s="6">
        <v>3</v>
      </c>
      <c r="H63" s="21"/>
      <c r="I63" s="22"/>
      <c r="J63" s="23"/>
      <c r="K63" s="23"/>
      <c r="L63" s="19"/>
      <c r="M63" s="35">
        <v>3</v>
      </c>
      <c r="N63" s="56">
        <v>3</v>
      </c>
      <c r="O63" s="182"/>
    </row>
    <row r="64" spans="1:15" ht="12" customHeight="1" thickBot="1" x14ac:dyDescent="0.2">
      <c r="A64" s="25"/>
      <c r="B64" s="116"/>
      <c r="C64" s="117"/>
      <c r="D64" s="117"/>
      <c r="E64" s="118"/>
      <c r="F64" s="26"/>
      <c r="G64" s="46"/>
      <c r="H64" s="47">
        <f t="shared" ref="H64:N64" si="4">SUM(H44:H63)</f>
        <v>0</v>
      </c>
      <c r="I64" s="9">
        <f t="shared" si="4"/>
        <v>0</v>
      </c>
      <c r="J64" s="9">
        <f t="shared" si="4"/>
        <v>12</v>
      </c>
      <c r="K64" s="9">
        <f t="shared" si="4"/>
        <v>9</v>
      </c>
      <c r="L64" s="9">
        <f t="shared" si="4"/>
        <v>14</v>
      </c>
      <c r="M64" s="10">
        <f t="shared" si="4"/>
        <v>25</v>
      </c>
      <c r="N64" s="42">
        <f t="shared" si="4"/>
        <v>60</v>
      </c>
      <c r="O64" s="13"/>
    </row>
    <row r="65" spans="1:16" ht="12" customHeight="1" x14ac:dyDescent="0.15">
      <c r="A65" s="119" t="s">
        <v>36</v>
      </c>
      <c r="B65" s="120"/>
      <c r="C65" s="120"/>
      <c r="D65" s="120"/>
      <c r="E65" s="120"/>
      <c r="F65" s="120"/>
      <c r="G65" s="121"/>
      <c r="H65" s="19">
        <f t="shared" ref="H65:M65" si="5">SUM(H43,H64)</f>
        <v>30</v>
      </c>
      <c r="I65" s="19">
        <f t="shared" si="5"/>
        <v>30</v>
      </c>
      <c r="J65" s="19">
        <f t="shared" si="5"/>
        <v>31</v>
      </c>
      <c r="K65" s="19">
        <f t="shared" si="5"/>
        <v>28</v>
      </c>
      <c r="L65" s="19">
        <f t="shared" si="5"/>
        <v>28</v>
      </c>
      <c r="M65" s="27">
        <f t="shared" si="5"/>
        <v>27</v>
      </c>
      <c r="N65" s="28">
        <f>SUM(H65:M65)</f>
        <v>174</v>
      </c>
      <c r="O65" s="3"/>
      <c r="P65" s="14"/>
    </row>
    <row r="66" spans="1:16" ht="12" customHeight="1" x14ac:dyDescent="0.2">
      <c r="A66" s="122" t="s">
        <v>0</v>
      </c>
      <c r="B66" s="123"/>
      <c r="C66" s="123"/>
      <c r="D66" s="123"/>
      <c r="E66" s="123"/>
      <c r="F66" s="123"/>
      <c r="G66" s="124"/>
      <c r="H66" s="5">
        <v>3</v>
      </c>
      <c r="I66" s="5">
        <v>3</v>
      </c>
      <c r="J66" s="5">
        <v>3</v>
      </c>
      <c r="K66" s="5">
        <v>3</v>
      </c>
      <c r="L66" s="5">
        <v>3</v>
      </c>
      <c r="M66" s="33">
        <v>3</v>
      </c>
      <c r="N66" s="29">
        <f>SUM(H66:M66)</f>
        <v>18</v>
      </c>
      <c r="O66" s="2"/>
    </row>
    <row r="67" spans="1:16" ht="12" customHeight="1" x14ac:dyDescent="0.2">
      <c r="A67" s="122" t="s">
        <v>37</v>
      </c>
      <c r="B67" s="123"/>
      <c r="C67" s="123"/>
      <c r="D67" s="123"/>
      <c r="E67" s="123"/>
      <c r="F67" s="123"/>
      <c r="G67" s="124"/>
      <c r="H67" s="5">
        <f t="shared" ref="H67:M67" si="6">SUM(H65:H66)</f>
        <v>33</v>
      </c>
      <c r="I67" s="5">
        <f t="shared" si="6"/>
        <v>33</v>
      </c>
      <c r="J67" s="5">
        <f t="shared" si="6"/>
        <v>34</v>
      </c>
      <c r="K67" s="5">
        <f t="shared" si="6"/>
        <v>31</v>
      </c>
      <c r="L67" s="5">
        <f t="shared" si="6"/>
        <v>31</v>
      </c>
      <c r="M67" s="33">
        <f t="shared" si="6"/>
        <v>30</v>
      </c>
      <c r="N67" s="29">
        <f>SUM(H67:M67)</f>
        <v>192</v>
      </c>
      <c r="O67" s="2"/>
    </row>
    <row r="68" spans="1:16" ht="12" customHeight="1" x14ac:dyDescent="0.2">
      <c r="A68" s="122" t="s">
        <v>75</v>
      </c>
      <c r="B68" s="123"/>
      <c r="C68" s="123"/>
      <c r="D68" s="123"/>
      <c r="E68" s="123"/>
      <c r="F68" s="123"/>
      <c r="G68" s="124"/>
      <c r="H68" s="5">
        <v>10</v>
      </c>
      <c r="I68" s="5">
        <v>10</v>
      </c>
      <c r="J68" s="37">
        <v>10</v>
      </c>
      <c r="K68" s="37">
        <v>9</v>
      </c>
      <c r="L68" s="37">
        <v>9</v>
      </c>
      <c r="M68" s="38">
        <v>9</v>
      </c>
      <c r="N68" s="39">
        <f>SUM(H68:M68)</f>
        <v>57</v>
      </c>
      <c r="O68" s="40"/>
    </row>
    <row r="69" spans="1:16" ht="12" customHeight="1" thickBot="1" x14ac:dyDescent="0.25">
      <c r="A69" s="125" t="s">
        <v>38</v>
      </c>
      <c r="B69" s="126"/>
      <c r="C69" s="126"/>
      <c r="D69" s="126"/>
      <c r="E69" s="126"/>
      <c r="F69" s="126"/>
      <c r="G69" s="127"/>
      <c r="H69" s="112">
        <f>H67+I67</f>
        <v>66</v>
      </c>
      <c r="I69" s="113"/>
      <c r="J69" s="114">
        <f>J67+K67</f>
        <v>65</v>
      </c>
      <c r="K69" s="114"/>
      <c r="L69" s="114">
        <f>L67+M67</f>
        <v>61</v>
      </c>
      <c r="M69" s="115"/>
      <c r="N69" s="30">
        <f>SUM(H69:M69)</f>
        <v>192</v>
      </c>
      <c r="O69" s="1"/>
    </row>
    <row r="70" spans="1:16" ht="56.25" customHeight="1" x14ac:dyDescent="0.15">
      <c r="A70" s="111" t="s">
        <v>98</v>
      </c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</row>
    <row r="71" spans="1:16" x14ac:dyDescent="0.15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</row>
  </sheetData>
  <mergeCells count="77">
    <mergeCell ref="N35:N38"/>
    <mergeCell ref="O35:O38"/>
    <mergeCell ref="N39:N42"/>
    <mergeCell ref="O39:O42"/>
    <mergeCell ref="B61:B62"/>
    <mergeCell ref="O44:O63"/>
    <mergeCell ref="B49:B59"/>
    <mergeCell ref="C58:C59"/>
    <mergeCell ref="D58:D59"/>
    <mergeCell ref="E58:E59"/>
    <mergeCell ref="C49:C52"/>
    <mergeCell ref="D49:D52"/>
    <mergeCell ref="E49:E52"/>
    <mergeCell ref="D53:D55"/>
    <mergeCell ref="C53:C55"/>
    <mergeCell ref="E53:E55"/>
    <mergeCell ref="A1:O1"/>
    <mergeCell ref="A2:K2"/>
    <mergeCell ref="L2:O2"/>
    <mergeCell ref="A3:A5"/>
    <mergeCell ref="B3:B5"/>
    <mergeCell ref="C3:C5"/>
    <mergeCell ref="D3:D5"/>
    <mergeCell ref="E3:E5"/>
    <mergeCell ref="F3:F5"/>
    <mergeCell ref="N3:N5"/>
    <mergeCell ref="O3:O5"/>
    <mergeCell ref="H4:H5"/>
    <mergeCell ref="J3:K3"/>
    <mergeCell ref="N11:N15"/>
    <mergeCell ref="O11:O15"/>
    <mergeCell ref="N6:N10"/>
    <mergeCell ref="K4:K5"/>
    <mergeCell ref="B6:B10"/>
    <mergeCell ref="G3:G5"/>
    <mergeCell ref="H3:I3"/>
    <mergeCell ref="I4:I5"/>
    <mergeCell ref="L3:M3"/>
    <mergeCell ref="J4:J5"/>
    <mergeCell ref="L4:L5"/>
    <mergeCell ref="M4:M5"/>
    <mergeCell ref="O6:O10"/>
    <mergeCell ref="N16:N20"/>
    <mergeCell ref="O16:O20"/>
    <mergeCell ref="O25:O28"/>
    <mergeCell ref="B29:B34"/>
    <mergeCell ref="N29:N34"/>
    <mergeCell ref="O29:O34"/>
    <mergeCell ref="N21:N22"/>
    <mergeCell ref="O21:O22"/>
    <mergeCell ref="N23:N24"/>
    <mergeCell ref="O23:O24"/>
    <mergeCell ref="B25:B28"/>
    <mergeCell ref="B21:B24"/>
    <mergeCell ref="B16:B20"/>
    <mergeCell ref="N25:N28"/>
    <mergeCell ref="A70:O70"/>
    <mergeCell ref="H69:I69"/>
    <mergeCell ref="J69:K69"/>
    <mergeCell ref="L69:M69"/>
    <mergeCell ref="B64:E64"/>
    <mergeCell ref="A65:G65"/>
    <mergeCell ref="A66:G66"/>
    <mergeCell ref="A67:G67"/>
    <mergeCell ref="A68:G68"/>
    <mergeCell ref="A69:G69"/>
    <mergeCell ref="A44:A63"/>
    <mergeCell ref="A6:A43"/>
    <mergeCell ref="B43:E43"/>
    <mergeCell ref="B35:B38"/>
    <mergeCell ref="B44:B48"/>
    <mergeCell ref="C56:C57"/>
    <mergeCell ref="D56:D57"/>
    <mergeCell ref="E56:E57"/>
    <mergeCell ref="B11:B15"/>
    <mergeCell ref="B39:B40"/>
    <mergeCell ref="B41:B4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 입학생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정욱</cp:lastModifiedBy>
  <cp:lastPrinted>2025-09-18T03:55:08Z</cp:lastPrinted>
  <dcterms:created xsi:type="dcterms:W3CDTF">2020-08-10T03:16:01Z</dcterms:created>
  <dcterms:modified xsi:type="dcterms:W3CDTF">2025-10-14T05:21:44Z</dcterms:modified>
</cp:coreProperties>
</file>