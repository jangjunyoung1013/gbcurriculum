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51991B-10F4-42E7-B2E8-107BAC44FCF5}" xr6:coauthVersionLast="47" xr6:coauthVersionMax="47" xr10:uidLastSave="{00000000-0000-0000-0000-000000000000}"/>
  <bookViews>
    <workbookView xWindow="28680" yWindow="-120" windowWidth="16440" windowHeight="28320" tabRatio="681" xr2:uid="{00000000-000D-0000-FFFF-FFFF00000000}"/>
  </bookViews>
  <sheets>
    <sheet name="영동고" sheetId="16" r:id="rId1"/>
  </sheets>
  <definedNames>
    <definedName name="_xlnm.Print_Area" localSheetId="0">영동고!$A$1:$N$59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16" l="1"/>
  <c r="N42" i="16" l="1"/>
  <c r="L42" i="16"/>
  <c r="L56" i="16" s="1"/>
  <c r="L58" i="16" s="1"/>
  <c r="K56" i="16"/>
  <c r="K58" i="16" s="1"/>
  <c r="J42" i="16"/>
  <c r="J56" i="16" s="1"/>
  <c r="J58" i="16" s="1"/>
  <c r="I42" i="16"/>
  <c r="I56" i="16" s="1"/>
  <c r="I58" i="16" s="1"/>
  <c r="H42" i="16"/>
  <c r="H56" i="16" s="1"/>
  <c r="H58" i="16" s="1"/>
  <c r="G42" i="16"/>
  <c r="G56" i="16" s="1"/>
  <c r="G58" i="16" s="1"/>
  <c r="M56" i="16" l="1"/>
  <c r="M42" i="16"/>
  <c r="M58" i="16"/>
</calcChain>
</file>

<file path=xl/sharedStrings.xml><?xml version="1.0" encoding="utf-8"?>
<sst xmlns="http://schemas.openxmlformats.org/spreadsheetml/2006/main" count="190" uniqueCount="101">
  <si>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</si>
  <si>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</si>
  <si>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</si>
  <si>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</si>
  <si>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</si>
  <si>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</si>
  <si>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</si>
  <si>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3" type="noConversion"/>
  </si>
  <si>
    <t>과목</t>
    <phoneticPr fontId="3" type="noConversion"/>
  </si>
  <si>
    <t>이수
학점</t>
    <phoneticPr fontId="3" type="noConversion"/>
  </si>
  <si>
    <t>교과 이수 학점 소계</t>
    <phoneticPr fontId="3" type="noConversion"/>
  </si>
  <si>
    <t>학교 지정 교과 이수 학점 소계</t>
    <phoneticPr fontId="3" type="noConversion"/>
  </si>
  <si>
    <t>기본
학점</t>
    <phoneticPr fontId="3" type="noConversion"/>
  </si>
  <si>
    <t>편성
학점</t>
    <phoneticPr fontId="3" type="noConversion"/>
  </si>
  <si>
    <t>필수
이수
학점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</si>
  <si>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</si>
  <si>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</si>
  <si>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</si>
  <si>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수학</t>
    <phoneticPr fontId="3" type="noConversion"/>
  </si>
  <si>
    <t>공통국어 1</t>
  </si>
  <si>
    <t>공통국어 2</t>
  </si>
  <si>
    <t>문학</t>
  </si>
  <si>
    <t>독서와 작문</t>
  </si>
  <si>
    <t>화법과 언어</t>
  </si>
  <si>
    <t>주제탐구 독서</t>
  </si>
  <si>
    <t>지정</t>
  </si>
  <si>
    <t>공통</t>
  </si>
  <si>
    <t>일반</t>
  </si>
  <si>
    <t>진로</t>
  </si>
  <si>
    <t>공통수학 2</t>
  </si>
  <si>
    <t>대수</t>
  </si>
  <si>
    <t>미적분Ⅰ</t>
  </si>
  <si>
    <t>확률과통계</t>
  </si>
  <si>
    <t>수학과 문화</t>
  </si>
  <si>
    <t>공통수학 1</t>
    <phoneticPr fontId="3" type="noConversion"/>
  </si>
  <si>
    <t>공통영어 1</t>
  </si>
  <si>
    <t>공통영어 2</t>
  </si>
  <si>
    <t>영어Ⅰ</t>
  </si>
  <si>
    <t>영어Ⅱ</t>
  </si>
  <si>
    <t>영어 독해와 작문</t>
  </si>
  <si>
    <t>심화영어</t>
  </si>
  <si>
    <t>한국사 1</t>
  </si>
  <si>
    <t>한국사 2</t>
  </si>
  <si>
    <t>통합사회 1</t>
  </si>
  <si>
    <t>통합사회 2</t>
  </si>
  <si>
    <t>통합과학 2</t>
  </si>
  <si>
    <t>과학탐구실험 1</t>
  </si>
  <si>
    <t>과학탐구실험 2</t>
  </si>
  <si>
    <t>통합과학 1</t>
    <phoneticPr fontId="3" type="noConversion"/>
  </si>
  <si>
    <t>체육 1</t>
  </si>
  <si>
    <t>체육 2</t>
  </si>
  <si>
    <t>스포츠 생활 1</t>
  </si>
  <si>
    <t>융합</t>
  </si>
  <si>
    <t>스포츠 생활 2</t>
  </si>
  <si>
    <t>스포츠 문화</t>
  </si>
  <si>
    <t>스포츠 과학</t>
  </si>
  <si>
    <t>음악</t>
  </si>
  <si>
    <t>미술</t>
  </si>
  <si>
    <t>정보</t>
  </si>
  <si>
    <t>인공지능기초</t>
  </si>
  <si>
    <t>경제수학/미적분Ⅱ</t>
  </si>
  <si>
    <t>탐구</t>
    <phoneticPr fontId="3" type="noConversion"/>
  </si>
  <si>
    <t>일본어 / 한문</t>
  </si>
  <si>
    <t>일본어회화 / 한문고전읽기</t>
  </si>
  <si>
    <t>음악감상과 비평 / 미술감상과비평</t>
  </si>
  <si>
    <t>음악연주와 창작 / 미술 창작</t>
  </si>
  <si>
    <t>기술가정/정보</t>
    <phoneticPr fontId="3" type="noConversion"/>
  </si>
  <si>
    <t>교양</t>
    <phoneticPr fontId="3" type="noConversion"/>
  </si>
  <si>
    <t>예술</t>
    <phoneticPr fontId="3" type="noConversion"/>
  </si>
  <si>
    <t>택1</t>
  </si>
  <si>
    <t>택2</t>
  </si>
  <si>
    <t>택3</t>
  </si>
  <si>
    <t>택1</t>
    <phoneticPr fontId="3" type="noConversion"/>
  </si>
  <si>
    <t>일반</t>
    <phoneticPr fontId="3" type="noConversion"/>
  </si>
  <si>
    <t>진로</t>
    <phoneticPr fontId="3" type="noConversion"/>
  </si>
  <si>
    <t>융합</t>
    <phoneticPr fontId="3" type="noConversion"/>
  </si>
  <si>
    <t>공통</t>
    <phoneticPr fontId="3" type="noConversion"/>
  </si>
  <si>
    <t>진로/융합</t>
    <phoneticPr fontId="3" type="noConversion"/>
  </si>
  <si>
    <t>(2)</t>
    <phoneticPr fontId="3" type="noConversion"/>
  </si>
  <si>
    <t>학생선택</t>
    <phoneticPr fontId="3" type="noConversion"/>
  </si>
  <si>
    <t>학교지정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</si>
  <si>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</si>
  <si>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</si>
  <si>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</si>
  <si>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</si>
  <si>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</si>
  <si>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체육</t>
    <phoneticPr fontId="3" type="noConversion"/>
  </si>
  <si>
    <t>[영동고등학교]</t>
    <phoneticPr fontId="3" type="noConversion"/>
  </si>
  <si>
    <t>수학/    영어</t>
    <phoneticPr fontId="3" type="noConversion"/>
  </si>
  <si>
    <t>학교유형:일반고</t>
    <phoneticPr fontId="3" type="noConversion"/>
  </si>
  <si>
    <t>글로벌이슈와 토론/인간과 철학/논리와 사고</t>
    <phoneticPr fontId="3" type="noConversion"/>
  </si>
  <si>
    <t>기술가정/정보/교양</t>
    <phoneticPr fontId="3" type="noConversion"/>
  </si>
  <si>
    <t>한국지리 탐구, 도시의 미래 탐구, 동아시아 역사기행, 정치, 법과 사회, 경제, 윤리와사상, 인문학과윤리,국제관계의 이해 / 역학과 에너지, 물질과 에너지, 세포와 물질대사, 지구시스템과학,행성우주과학</t>
    <phoneticPr fontId="3" type="noConversion"/>
  </si>
  <si>
    <t>2026학년도 입학생 3개년 교육과정 편성표</t>
    <phoneticPr fontId="3" type="noConversion"/>
  </si>
  <si>
    <t>일반/진로</t>
    <phoneticPr fontId="3" type="noConversion"/>
  </si>
  <si>
    <t>인간과 경제활동/논술</t>
    <phoneticPr fontId="3" type="noConversion"/>
  </si>
  <si>
    <t>기하/고급미적분/수학과제탐구/                영어발표와토론</t>
    <phoneticPr fontId="3" type="noConversion"/>
  </si>
  <si>
    <t>물리학,화학,생명과학,지구과학/          세계시민과 지리, 세계사, 사회와문화, 현대사회와 윤리</t>
    <phoneticPr fontId="3" type="noConversion"/>
  </si>
  <si>
    <t xml:space="preserve">전자기와 양자, 화학반응의 세계, 생물의 유전, 고급물리학, 고급화학, 고급생명과학 / 기후변화와 지속 가능한세계, 윤리문제탐구, 역사로 탐구하는 현대 세계 </t>
    <phoneticPr fontId="3" type="noConversion"/>
  </si>
  <si>
    <t>도시의 미래 탐구, 사회문제탐구,         과학의 역사와 문화, 융합과학탐구</t>
    <phoneticPr fontId="3" type="noConversion"/>
  </si>
  <si>
    <t>생태와환경/ 프런티어사이언스, 인간과 심리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</si>
</sst>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66">
    <xf numFmtId="0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0" fontId="2" fillId="0" borderId="0" xfId="0" applyNumberFormat="1" applyFont="1" applyFill="1" applyBorder="1" applyAlignment="1" applyProtection="1">
      <alignment horizontal="left"/>
    </xf>
    <xf numFmtId="0" fontId="7" fillId="0" borderId="40" xfId="0" applyNumberFormat="1" applyFont="1" applyFill="1" applyBorder="1" applyAlignment="1" applyProtection="1">
      <alignment horizontal="center" vertical="center"/>
    </xf>
    <xf numFmtId="0" fontId="7" fillId="4" borderId="40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5" fillId="4" borderId="14" xfId="0" applyNumberFormat="1" applyFont="1" applyFill="1" applyBorder="1" applyAlignment="1" applyProtection="1">
      <alignment horizontal="center" vertical="center" wrapText="1"/>
    </xf>
    <xf numFmtId="0" fontId="7" fillId="4" borderId="14" xfId="0" applyNumberFormat="1" applyFont="1" applyFill="1" applyBorder="1" applyAlignment="1" applyProtection="1">
      <alignment horizontal="center" vertical="center"/>
    </xf>
    <xf numFmtId="0" fontId="7" fillId="0" borderId="30" xfId="0" applyNumberFormat="1" applyFont="1" applyFill="1" applyBorder="1" applyAlignment="1" applyProtection="1">
      <alignment horizontal="center" vertical="center"/>
    </xf>
    <xf numFmtId="0" fontId="7" fillId="0" borderId="41" xfId="0" applyNumberFormat="1" applyFont="1" applyFill="1" applyBorder="1" applyAlignment="1" applyProtection="1">
      <alignment horizontal="center" vertical="center"/>
    </xf>
    <xf numFmtId="0" fontId="7" fillId="0" borderId="33" xfId="0" applyNumberFormat="1" applyFont="1" applyFill="1" applyBorder="1" applyAlignment="1" applyProtection="1">
      <alignment horizontal="center" vertical="center"/>
    </xf>
    <xf numFmtId="176" fontId="7" fillId="0" borderId="40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/>
    </xf>
    <xf numFmtId="0" fontId="7" fillId="0" borderId="36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37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4" borderId="28" xfId="0" applyNumberFormat="1" applyFont="1" applyFill="1" applyBorder="1" applyAlignment="1" applyProtection="1">
      <alignment horizontal="center" vertical="center"/>
    </xf>
    <xf numFmtId="0" fontId="7" fillId="4" borderId="36" xfId="0" applyNumberFormat="1" applyFont="1" applyFill="1" applyBorder="1" applyAlignment="1" applyProtection="1">
      <alignment horizontal="center" vertical="center"/>
    </xf>
    <xf numFmtId="0" fontId="7" fillId="4" borderId="1" xfId="0" applyNumberFormat="1" applyFont="1" applyFill="1" applyBorder="1" applyAlignment="1" applyProtection="1">
      <alignment horizontal="center" vertical="center"/>
    </xf>
    <xf numFmtId="0" fontId="7" fillId="4" borderId="37" xfId="0" applyNumberFormat="1" applyFont="1" applyFill="1" applyBorder="1" applyAlignment="1" applyProtection="1">
      <alignment horizontal="center" vertical="center"/>
    </xf>
    <xf numFmtId="0" fontId="7" fillId="4" borderId="11" xfId="0" applyNumberFormat="1" applyFont="1" applyFill="1" applyBorder="1" applyAlignment="1" applyProtection="1">
      <alignment horizontal="center" vertical="center"/>
    </xf>
    <xf numFmtId="0" fontId="7" fillId="0" borderId="36" xfId="0" applyNumberFormat="1" applyFont="1" applyFill="1" applyBorder="1" applyAlignment="1" applyProtection="1">
      <alignment horizontal="center" vertical="center" wrapText="1"/>
    </xf>
    <xf numFmtId="0" fontId="7" fillId="4" borderId="37" xfId="0" quotePrefix="1" applyNumberFormat="1" applyFont="1" applyFill="1" applyBorder="1" applyAlignment="1" applyProtection="1">
      <alignment horizontal="center" vertical="center"/>
    </xf>
    <xf numFmtId="0" fontId="7" fillId="4" borderId="11" xfId="0" quotePrefix="1" applyNumberFormat="1" applyFont="1" applyFill="1" applyBorder="1" applyAlignment="1" applyProtection="1">
      <alignment horizontal="center" vertical="center"/>
    </xf>
    <xf numFmtId="0" fontId="7" fillId="4" borderId="28" xfId="0" quotePrefix="1" applyNumberFormat="1" applyFont="1" applyFill="1" applyBorder="1" applyAlignment="1" applyProtection="1">
      <alignment horizontal="center" vertical="center"/>
    </xf>
    <xf numFmtId="0" fontId="7" fillId="0" borderId="11" xfId="0" quotePrefix="1" applyNumberFormat="1" applyFont="1" applyFill="1" applyBorder="1" applyAlignment="1" applyProtection="1">
      <alignment horizontal="center" vertical="center"/>
    </xf>
    <xf numFmtId="0" fontId="7" fillId="0" borderId="28" xfId="0" quotePrefix="1" applyNumberFormat="1" applyFont="1" applyFill="1" applyBorder="1" applyAlignment="1" applyProtection="1">
      <alignment horizontal="center" vertical="center"/>
    </xf>
    <xf numFmtId="49" fontId="7" fillId="0" borderId="28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center" vertical="center"/>
    </xf>
    <xf numFmtId="0" fontId="7" fillId="4" borderId="28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vertical="center" wrapText="1"/>
    </xf>
    <xf numFmtId="0" fontId="7" fillId="0" borderId="48" xfId="0" applyNumberFormat="1" applyFont="1" applyFill="1" applyBorder="1" applyAlignment="1" applyProtection="1">
      <alignment horizontal="center" vertical="center"/>
    </xf>
    <xf numFmtId="0" fontId="7" fillId="0" borderId="43" xfId="0" applyNumberFormat="1" applyFont="1" applyFill="1" applyBorder="1" applyAlignment="1" applyProtection="1">
      <alignment horizontal="center" vertical="center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7" fillId="0" borderId="19" xfId="0" applyNumberFormat="1" applyFont="1" applyFill="1" applyBorder="1" applyAlignment="1" applyProtection="1">
      <alignment horizontal="center" vertical="center"/>
    </xf>
    <xf numFmtId="0" fontId="7" fillId="0" borderId="45" xfId="0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34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center" wrapText="1"/>
    </xf>
    <xf numFmtId="0" fontId="7" fillId="0" borderId="31" xfId="0" applyNumberFormat="1" applyFont="1" applyFill="1" applyBorder="1" applyAlignment="1" applyProtection="1">
      <alignment horizontal="center" vertical="center"/>
    </xf>
    <xf numFmtId="0" fontId="7" fillId="0" borderId="49" xfId="0" applyNumberFormat="1" applyFont="1" applyFill="1" applyBorder="1" applyAlignment="1" applyProtection="1">
      <alignment horizontal="center" vertical="center"/>
    </xf>
    <xf numFmtId="0" fontId="7" fillId="0" borderId="46" xfId="0" applyNumberFormat="1" applyFont="1" applyFill="1" applyBorder="1" applyAlignment="1" applyProtection="1">
      <alignment horizontal="center" vertical="center" wrapText="1"/>
    </xf>
    <xf numFmtId="0" fontId="7" fillId="0" borderId="52" xfId="0" applyNumberFormat="1" applyFont="1" applyFill="1" applyBorder="1" applyAlignment="1" applyProtection="1">
      <alignment horizontal="center" vertical="center"/>
    </xf>
    <xf numFmtId="0" fontId="7" fillId="0" borderId="50" xfId="0" applyNumberFormat="1" applyFont="1" applyFill="1" applyBorder="1" applyAlignment="1" applyProtection="1">
      <alignment horizontal="center" vertical="center"/>
    </xf>
    <xf numFmtId="0" fontId="7" fillId="0" borderId="27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41" xfId="0" applyNumberFormat="1" applyFont="1" applyFill="1" applyBorder="1" applyAlignment="1" applyProtection="1">
      <alignment horizontal="center" vertical="center" wrapText="1"/>
    </xf>
    <xf numFmtId="0" fontId="7" fillId="4" borderId="41" xfId="0" applyNumberFormat="1" applyFont="1" applyFill="1" applyBorder="1" applyAlignment="1" applyProtection="1">
      <alignment horizontal="center" vertical="center" wrapText="1"/>
    </xf>
    <xf numFmtId="0" fontId="7" fillId="4" borderId="33" xfId="0" applyNumberFormat="1" applyFont="1" applyFill="1" applyBorder="1" applyAlignment="1" applyProtection="1">
      <alignment horizontal="center" vertical="center"/>
    </xf>
    <xf numFmtId="0" fontId="7" fillId="4" borderId="30" xfId="0" applyNumberFormat="1" applyFont="1" applyFill="1" applyBorder="1" applyAlignment="1" applyProtection="1">
      <alignment horizontal="center" vertical="center"/>
    </xf>
    <xf numFmtId="0" fontId="7" fillId="4" borderId="14" xfId="0" applyNumberFormat="1" applyFont="1" applyFill="1" applyBorder="1" applyAlignment="1" applyProtection="1">
      <alignment horizontal="center" vertical="center" wrapText="1"/>
    </xf>
    <xf numFmtId="0" fontId="7" fillId="4" borderId="44" xfId="0" applyNumberFormat="1" applyFont="1" applyFill="1" applyBorder="1" applyAlignment="1" applyProtection="1">
      <alignment horizontal="center" vertical="center"/>
    </xf>
    <xf numFmtId="0" fontId="7" fillId="4" borderId="47" xfId="0" applyNumberFormat="1" applyFont="1" applyFill="1" applyBorder="1" applyAlignment="1" applyProtection="1">
      <alignment horizontal="center" vertical="center"/>
    </xf>
    <xf numFmtId="0" fontId="7" fillId="4" borderId="53" xfId="0" applyNumberFormat="1" applyFont="1" applyFill="1" applyBorder="1" applyAlignment="1" applyProtection="1">
      <alignment horizontal="center" vertical="center" wrapText="1"/>
    </xf>
    <xf numFmtId="0" fontId="7" fillId="4" borderId="51" xfId="0" applyNumberFormat="1" applyFont="1" applyFill="1" applyBorder="1" applyAlignment="1" applyProtection="1">
      <alignment horizontal="center" vertical="center"/>
    </xf>
    <xf numFmtId="0" fontId="7" fillId="2" borderId="11" xfId="0" applyNumberFormat="1" applyFont="1" applyFill="1" applyBorder="1" applyAlignment="1" applyProtection="1">
      <alignment horizontal="center" vertical="center"/>
    </xf>
    <xf numFmtId="0" fontId="7" fillId="2" borderId="28" xfId="0" applyNumberFormat="1" applyFont="1" applyFill="1" applyBorder="1" applyAlignment="1" applyProtection="1">
      <alignment horizontal="center" vertical="center"/>
    </xf>
    <xf numFmtId="0" fontId="7" fillId="2" borderId="36" xfId="0" applyNumberFormat="1" applyFont="1" applyFill="1" applyBorder="1" applyAlignment="1" applyProtection="1">
      <alignment horizontal="center" vertical="center"/>
    </xf>
    <xf numFmtId="0" fontId="7" fillId="2" borderId="37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vertical="center" wrapText="1"/>
    </xf>
    <xf numFmtId="0" fontId="5" fillId="0" borderId="23" xfId="0" applyNumberFormat="1" applyFont="1" applyFill="1" applyBorder="1" applyAlignment="1" applyProtection="1">
      <alignment vertical="center" wrapText="1"/>
    </xf>
    <xf numFmtId="0" fontId="7" fillId="0" borderId="27" xfId="0" applyNumberFormat="1" applyFont="1" applyFill="1" applyBorder="1" applyAlignment="1" applyProtection="1">
      <alignment horizontal="center" vertical="center" wrapText="1"/>
    </xf>
    <xf numFmtId="0" fontId="7" fillId="0" borderId="42" xfId="0" applyNumberFormat="1" applyFont="1" applyFill="1" applyBorder="1" applyAlignment="1" applyProtection="1">
      <alignment horizontal="center" vertical="center" wrapText="1"/>
    </xf>
    <xf numFmtId="0" fontId="7" fillId="4" borderId="30" xfId="0" applyNumberFormat="1" applyFont="1" applyFill="1" applyBorder="1" applyAlignment="1" applyProtection="1">
      <alignment horizontal="center" vertical="center" wrapText="1"/>
    </xf>
    <xf numFmtId="0" fontId="7" fillId="0" borderId="30" xfId="0" applyNumberFormat="1" applyFont="1" applyFill="1" applyBorder="1" applyAlignment="1" applyProtection="1">
      <alignment horizontal="center" vertical="center" wrapText="1"/>
    </xf>
    <xf numFmtId="0" fontId="7" fillId="0" borderId="28" xfId="0" applyNumberFormat="1" applyFont="1" applyBorder="1" applyAlignment="1">
      <alignment horizontal="center" vertical="center"/>
    </xf>
    <xf numFmtId="0" fontId="7" fillId="4" borderId="30" xfId="0" applyNumberFormat="1" applyFont="1" applyFill="1" applyBorder="1" applyAlignment="1">
      <alignment horizontal="center" vertical="center" wrapText="1"/>
    </xf>
    <xf numFmtId="0" fontId="2" fillId="0" borderId="54" xfId="0" applyNumberFormat="1" applyFont="1" applyFill="1" applyBorder="1" applyAlignment="1" applyProtection="1">
      <alignment horizontal="left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9" fillId="0" borderId="43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37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37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18" xfId="0" applyNumberFormat="1" applyFont="1" applyFill="1" applyBorder="1" applyAlignment="1" applyProtection="1">
      <alignment horizontal="center"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center" wrapText="1"/>
    </xf>
    <xf numFmtId="0" fontId="7" fillId="4" borderId="36" xfId="0" applyNumberFormat="1" applyFont="1" applyFill="1" applyBorder="1" applyAlignment="1" applyProtection="1">
      <alignment horizontal="center" vertical="center" wrapText="1"/>
    </xf>
    <xf numFmtId="0" fontId="7" fillId="4" borderId="9" xfId="0" applyNumberFormat="1" applyFont="1" applyFill="1" applyBorder="1" applyAlignment="1" applyProtection="1">
      <alignment horizontal="center" vertical="center"/>
    </xf>
    <xf numFmtId="0" fontId="7" fillId="4" borderId="12" xfId="0" applyNumberFormat="1" applyFont="1" applyFill="1" applyBorder="1" applyAlignment="1" applyProtection="1">
      <alignment horizontal="center" vertical="center"/>
    </xf>
    <xf numFmtId="0" fontId="7" fillId="0" borderId="19" xfId="0" applyNumberFormat="1" applyFont="1" applyFill="1" applyBorder="1" applyAlignment="1" applyProtection="1">
      <alignment horizontal="center" vertical="center" wrapText="1"/>
    </xf>
    <xf numFmtId="0" fontId="7" fillId="0" borderId="20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7" fillId="0" borderId="46" xfId="0" applyNumberFormat="1" applyFont="1" applyFill="1" applyBorder="1" applyAlignment="1" applyProtection="1">
      <alignment horizontal="center" vertical="center"/>
    </xf>
    <xf numFmtId="0" fontId="7" fillId="0" borderId="47" xfId="0" applyNumberFormat="1" applyFont="1" applyFill="1" applyBorder="1" applyAlignment="1" applyProtection="1">
      <alignment horizontal="center" vertical="center"/>
    </xf>
    <xf numFmtId="0" fontId="7" fillId="4" borderId="45" xfId="0" applyNumberFormat="1" applyFont="1" applyFill="1" applyBorder="1" applyAlignment="1" applyProtection="1">
      <alignment horizontal="center" vertical="center"/>
    </xf>
    <xf numFmtId="0" fontId="7" fillId="4" borderId="47" xfId="0" applyNumberFormat="1" applyFont="1" applyFill="1" applyBorder="1" applyAlignment="1" applyProtection="1">
      <alignment horizontal="center" vertical="center"/>
    </xf>
    <xf numFmtId="0" fontId="7" fillId="4" borderId="40" xfId="0" applyNumberFormat="1" applyFont="1" applyFill="1" applyBorder="1" applyAlignment="1" applyProtection="1">
      <alignment horizontal="center" vertical="center"/>
    </xf>
    <xf numFmtId="0" fontId="7" fillId="0" borderId="45" xfId="0" applyNumberFormat="1" applyFont="1" applyFill="1" applyBorder="1" applyAlignment="1" applyProtection="1">
      <alignment horizontal="center" vertical="center"/>
    </xf>
    <xf numFmtId="0" fontId="7" fillId="0" borderId="40" xfId="0" applyNumberFormat="1" applyFont="1" applyFill="1" applyBorder="1" applyAlignment="1" applyProtection="1">
      <alignment horizontal="center" vertical="center"/>
    </xf>
    <xf numFmtId="0" fontId="7" fillId="4" borderId="7" xfId="0" applyNumberFormat="1" applyFont="1" applyFill="1" applyBorder="1" applyAlignment="1" applyProtection="1">
      <alignment horizontal="center" vertical="center" wrapText="1"/>
    </xf>
    <xf numFmtId="0" fontId="7" fillId="4" borderId="22" xfId="0" applyNumberFormat="1" applyFont="1" applyFill="1" applyBorder="1" applyAlignment="1" applyProtection="1">
      <alignment horizontal="center" vertical="center" wrapText="1"/>
    </xf>
    <xf numFmtId="0" fontId="7" fillId="4" borderId="14" xfId="0" applyNumberFormat="1" applyFont="1" applyFill="1" applyBorder="1" applyAlignment="1" applyProtection="1">
      <alignment horizontal="center" vertical="center" wrapText="1"/>
    </xf>
    <xf numFmtId="0" fontId="5" fillId="4" borderId="7" xfId="0" applyNumberFormat="1" applyFont="1" applyFill="1" applyBorder="1" applyAlignment="1" applyProtection="1">
      <alignment horizontal="center" vertical="center" wrapText="1"/>
    </xf>
    <xf numFmtId="0" fontId="5" fillId="4" borderId="22" xfId="0" applyNumberFormat="1" applyFont="1" applyFill="1" applyBorder="1" applyAlignment="1" applyProtection="1">
      <alignment horizontal="center" vertical="center" wrapText="1"/>
    </xf>
    <xf numFmtId="0" fontId="5" fillId="4" borderId="14" xfId="0" applyNumberFormat="1" applyFont="1" applyFill="1" applyBorder="1" applyAlignment="1" applyProtection="1">
      <alignment horizontal="center" vertical="center" wrapText="1"/>
    </xf>
    <xf numFmtId="0" fontId="7" fillId="4" borderId="36" xfId="0" applyNumberFormat="1" applyFont="1" applyFill="1" applyBorder="1" applyAlignment="1" applyProtection="1">
      <alignment horizontal="center" vertical="center"/>
    </xf>
    <xf numFmtId="0" fontId="7" fillId="4" borderId="8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36" xfId="0" applyNumberFormat="1" applyFont="1" applyFill="1" applyBorder="1" applyAlignment="1" applyProtection="1">
      <alignment horizontal="center" vertical="center" wrapText="1"/>
    </xf>
    <xf numFmtId="0" fontId="7" fillId="0" borderId="8" xfId="0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center" vertical="center" wrapText="1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36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center"/>
    </xf>
    <xf numFmtId="0" fontId="7" fillId="4" borderId="7" xfId="0" applyNumberFormat="1" applyFont="1" applyFill="1" applyBorder="1" applyAlignment="1" applyProtection="1">
      <alignment horizontal="center" vertical="center"/>
    </xf>
    <xf numFmtId="0" fontId="7" fillId="4" borderId="22" xfId="0" applyNumberFormat="1" applyFont="1" applyFill="1" applyBorder="1" applyAlignment="1" applyProtection="1">
      <alignment horizontal="center" vertical="center"/>
    </xf>
    <xf numFmtId="0" fontId="7" fillId="4" borderId="14" xfId="0" applyNumberFormat="1" applyFont="1" applyFill="1" applyBorder="1" applyAlignment="1" applyProtection="1">
      <alignment horizontal="center" vertical="center"/>
    </xf>
    <xf numFmtId="0" fontId="7" fillId="4" borderId="9" xfId="0" applyNumberFormat="1" applyFont="1" applyFill="1" applyBorder="1" applyAlignment="1" applyProtection="1">
      <alignment horizontal="center" vertical="center" wrapText="1"/>
    </xf>
    <xf numFmtId="0" fontId="7" fillId="4" borderId="13" xfId="0" applyNumberFormat="1" applyFont="1" applyFill="1" applyBorder="1" applyAlignment="1" applyProtection="1">
      <alignment horizontal="center" vertical="center" wrapText="1"/>
    </xf>
    <xf numFmtId="0" fontId="8" fillId="3" borderId="37" xfId="0" applyNumberFormat="1" applyFont="1" applyFill="1" applyBorder="1" applyAlignment="1" applyProtection="1">
      <alignment horizontal="center" vertical="center"/>
    </xf>
    <xf numFmtId="0" fontId="8" fillId="3" borderId="39" xfId="0" applyNumberFormat="1" applyFont="1" applyFill="1" applyBorder="1" applyAlignment="1" applyProtection="1">
      <alignment horizontal="center" vertical="center"/>
    </xf>
    <xf numFmtId="0" fontId="8" fillId="3" borderId="11" xfId="0" applyNumberFormat="1" applyFont="1" applyFill="1" applyBorder="1" applyAlignment="1" applyProtection="1">
      <alignment horizontal="center" vertical="center"/>
    </xf>
    <xf numFmtId="0" fontId="8" fillId="3" borderId="32" xfId="0" applyNumberFormat="1" applyFont="1" applyFill="1" applyBorder="1" applyAlignment="1" applyProtection="1">
      <alignment horizontal="center" vertical="center"/>
    </xf>
    <xf numFmtId="0" fontId="8" fillId="3" borderId="28" xfId="0" applyNumberFormat="1" applyFont="1" applyFill="1" applyBorder="1" applyAlignment="1" applyProtection="1">
      <alignment horizontal="center" vertical="center"/>
    </xf>
    <xf numFmtId="0" fontId="8" fillId="3" borderId="29" xfId="0" applyNumberFormat="1" applyFont="1" applyFill="1" applyBorder="1" applyAlignment="1" applyProtection="1">
      <alignment horizontal="center" vertical="center"/>
    </xf>
    <xf numFmtId="0" fontId="7" fillId="0" borderId="45" xfId="0" applyNumberFormat="1" applyFont="1" applyFill="1" applyBorder="1" applyAlignment="1" applyProtection="1">
      <alignment horizontal="center" vertical="center" wrapText="1"/>
    </xf>
    <xf numFmtId="0" fontId="7" fillId="0" borderId="47" xfId="0" applyNumberFormat="1" applyFont="1" applyFill="1" applyBorder="1" applyAlignment="1" applyProtection="1">
      <alignment horizontal="center" vertical="center" wrapText="1"/>
    </xf>
    <xf numFmtId="0" fontId="7" fillId="0" borderId="4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right" vertical="center"/>
    </xf>
    <xf numFmtId="0" fontId="8" fillId="3" borderId="6" xfId="0" applyNumberFormat="1" applyFont="1" applyFill="1" applyBorder="1" applyAlignment="1" applyProtection="1">
      <alignment horizontal="center" vertical="center" wrapText="1"/>
    </xf>
    <xf numFmtId="0" fontId="8" fillId="3" borderId="3" xfId="0" applyNumberFormat="1" applyFont="1" applyFill="1" applyBorder="1" applyAlignment="1" applyProtection="1">
      <alignment horizontal="center" vertical="center"/>
    </xf>
    <xf numFmtId="0" fontId="8" fillId="3" borderId="24" xfId="0" applyNumberFormat="1" applyFont="1" applyFill="1" applyBorder="1" applyAlignment="1" applyProtection="1">
      <alignment horizontal="center" vertical="center"/>
    </xf>
    <xf numFmtId="0" fontId="8" fillId="3" borderId="2" xfId="0" applyNumberFormat="1" applyFont="1" applyFill="1" applyBorder="1" applyAlignment="1" applyProtection="1">
      <alignment horizontal="center" vertical="center"/>
    </xf>
    <xf numFmtId="0" fontId="8" fillId="3" borderId="1" xfId="0" applyNumberFormat="1" applyFont="1" applyFill="1" applyBorder="1" applyAlignment="1" applyProtection="1">
      <alignment horizontal="center" vertical="center"/>
    </xf>
    <xf numFmtId="0" fontId="8" fillId="3" borderId="25" xfId="0" applyNumberFormat="1" applyFont="1" applyFill="1" applyBorder="1" applyAlignment="1" applyProtection="1">
      <alignment horizontal="center" vertical="center"/>
    </xf>
    <xf numFmtId="0" fontId="8" fillId="3" borderId="27" xfId="0" applyNumberFormat="1" applyFont="1" applyFill="1" applyBorder="1" applyAlignment="1" applyProtection="1">
      <alignment horizontal="center" vertical="center" wrapText="1"/>
    </xf>
    <xf numFmtId="0" fontId="8" fillId="3" borderId="28" xfId="0" applyNumberFormat="1" applyFont="1" applyFill="1" applyBorder="1" applyAlignment="1" applyProtection="1">
      <alignment horizontal="center" vertical="center" wrapText="1"/>
    </xf>
    <xf numFmtId="0" fontId="8" fillId="3" borderId="29" xfId="0" applyNumberFormat="1" applyFont="1" applyFill="1" applyBorder="1" applyAlignment="1" applyProtection="1">
      <alignment horizontal="center" vertical="center" wrapText="1"/>
    </xf>
    <xf numFmtId="0" fontId="8" fillId="3" borderId="34" xfId="0" applyNumberFormat="1" applyFont="1" applyFill="1" applyBorder="1" applyAlignment="1" applyProtection="1">
      <alignment horizontal="center" vertical="center" wrapText="1"/>
    </xf>
    <xf numFmtId="0" fontId="8" fillId="3" borderId="36" xfId="0" applyNumberFormat="1" applyFont="1" applyFill="1" applyBorder="1" applyAlignment="1" applyProtection="1">
      <alignment horizontal="center" vertical="center" wrapText="1"/>
    </xf>
    <xf numFmtId="0" fontId="8" fillId="3" borderId="38" xfId="0" applyNumberFormat="1" applyFont="1" applyFill="1" applyBorder="1" applyAlignment="1" applyProtection="1">
      <alignment horizontal="center" vertical="center" wrapText="1"/>
    </xf>
    <xf numFmtId="0" fontId="8" fillId="3" borderId="2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horizontal="center" vertical="center" wrapText="1"/>
    </xf>
    <xf numFmtId="0" fontId="8" fillId="3" borderId="25" xfId="0" applyNumberFormat="1" applyFont="1" applyFill="1" applyBorder="1" applyAlignment="1" applyProtection="1">
      <alignment horizontal="center" vertical="center" wrapText="1"/>
    </xf>
    <xf numFmtId="0" fontId="8" fillId="3" borderId="35" xfId="0" applyNumberFormat="1" applyFont="1" applyFill="1" applyBorder="1" applyAlignment="1" applyProtection="1">
      <alignment horizontal="center" vertical="center" wrapText="1"/>
    </xf>
    <xf numFmtId="0" fontId="8" fillId="3" borderId="37" xfId="0" applyNumberFormat="1" applyFont="1" applyFill="1" applyBorder="1" applyAlignment="1" applyProtection="1">
      <alignment horizontal="center" vertical="center" wrapText="1"/>
    </xf>
    <xf numFmtId="0" fontId="8" fillId="3" borderId="39" xfId="0" applyNumberFormat="1" applyFont="1" applyFill="1" applyBorder="1" applyAlignment="1" applyProtection="1">
      <alignment horizontal="center" vertical="center" wrapText="1"/>
    </xf>
    <xf numFmtId="0" fontId="8" fillId="3" borderId="31" xfId="0" applyNumberFormat="1" applyFont="1" applyFill="1" applyBorder="1" applyAlignment="1" applyProtection="1">
      <alignment horizontal="center" vertical="center"/>
    </xf>
    <xf numFmtId="0" fontId="8" fillId="3" borderId="27" xfId="0" applyNumberFormat="1" applyFont="1" applyFill="1" applyBorder="1" applyAlignment="1" applyProtection="1">
      <alignment horizontal="center" vertical="center"/>
    </xf>
    <xf numFmtId="0" fontId="8" fillId="3" borderId="34" xfId="0" applyNumberFormat="1" applyFont="1" applyFill="1" applyBorder="1" applyAlignment="1" applyProtection="1">
      <alignment horizontal="center" vertical="center"/>
    </xf>
    <xf numFmtId="0" fontId="8" fillId="3" borderId="35" xfId="0" applyNumberFormat="1" applyFont="1" applyFill="1" applyBorder="1" applyAlignment="1" applyProtection="1">
      <alignment horizontal="center" vertical="center"/>
    </xf>
    <xf numFmtId="0" fontId="8" fillId="3" borderId="36" xfId="0" applyNumberFormat="1" applyFont="1" applyFill="1" applyBorder="1" applyAlignment="1" applyProtection="1">
      <alignment horizontal="center" vertical="center"/>
    </xf>
    <xf numFmtId="0" fontId="8" fillId="3" borderId="38" xfId="0" applyNumberFormat="1" applyFont="1" applyFill="1" applyBorder="1" applyAlignment="1" applyProtection="1">
      <alignment horizontal="center" vertical="center"/>
    </xf>
    <xf numFmtId="0" fontId="8" fillId="3" borderId="10" xfId="0" applyNumberFormat="1" applyFont="1" applyFill="1" applyBorder="1" applyAlignment="1" applyProtection="1">
      <alignment horizontal="center" vertical="center" wrapText="1"/>
    </xf>
    <xf numFmtId="0" fontId="8" fillId="3" borderId="8" xfId="0" applyNumberFormat="1" applyFont="1" applyFill="1" applyBorder="1" applyAlignment="1" applyProtection="1">
      <alignment horizontal="center" vertical="center"/>
    </xf>
    <xf numFmtId="0" fontId="8" fillId="3" borderId="26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9"/>
  <sheetViews>
    <sheetView tabSelected="1" view="pageBreakPreview" zoomScale="110" zoomScaleNormal="130" zoomScaleSheetLayoutView="11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7.44140625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37" t="s">
        <v>93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ht="24" customHeight="1" thickBot="1" x14ac:dyDescent="0.35">
      <c r="A2" s="72" t="s">
        <v>89</v>
      </c>
      <c r="B2" s="72"/>
      <c r="C2" s="72"/>
      <c r="D2" s="3"/>
      <c r="E2" s="3"/>
      <c r="F2" s="3"/>
      <c r="G2" s="3"/>
      <c r="H2" s="3"/>
      <c r="I2" s="138" t="s">
        <v>87</v>
      </c>
      <c r="J2" s="138"/>
      <c r="K2" s="138"/>
      <c r="L2" s="138"/>
      <c r="M2" s="138"/>
      <c r="N2" s="138"/>
    </row>
    <row r="3" spans="1:14" ht="18" customHeight="1" x14ac:dyDescent="0.15">
      <c r="A3" s="139" t="s">
        <v>3</v>
      </c>
      <c r="B3" s="142" t="s">
        <v>6</v>
      </c>
      <c r="C3" s="145" t="s">
        <v>8</v>
      </c>
      <c r="D3" s="148" t="s">
        <v>7</v>
      </c>
      <c r="E3" s="151" t="s">
        <v>12</v>
      </c>
      <c r="F3" s="154" t="s">
        <v>13</v>
      </c>
      <c r="G3" s="157" t="s">
        <v>1</v>
      </c>
      <c r="H3" s="158"/>
      <c r="I3" s="159" t="s">
        <v>5</v>
      </c>
      <c r="J3" s="160"/>
      <c r="K3" s="157" t="s">
        <v>4</v>
      </c>
      <c r="L3" s="158"/>
      <c r="M3" s="148" t="s">
        <v>9</v>
      </c>
      <c r="N3" s="163" t="s">
        <v>14</v>
      </c>
    </row>
    <row r="4" spans="1:14" x14ac:dyDescent="0.15">
      <c r="A4" s="140"/>
      <c r="B4" s="143"/>
      <c r="C4" s="146"/>
      <c r="D4" s="149"/>
      <c r="E4" s="152"/>
      <c r="F4" s="155"/>
      <c r="G4" s="130" t="s">
        <v>0</v>
      </c>
      <c r="H4" s="132" t="s">
        <v>2</v>
      </c>
      <c r="I4" s="161" t="s">
        <v>0</v>
      </c>
      <c r="J4" s="128" t="s">
        <v>2</v>
      </c>
      <c r="K4" s="130" t="s">
        <v>0</v>
      </c>
      <c r="L4" s="132" t="s">
        <v>2</v>
      </c>
      <c r="M4" s="161"/>
      <c r="N4" s="164"/>
    </row>
    <row r="5" spans="1:14" ht="14.25" thickBot="1" x14ac:dyDescent="0.2">
      <c r="A5" s="141"/>
      <c r="B5" s="144"/>
      <c r="C5" s="147"/>
      <c r="D5" s="150"/>
      <c r="E5" s="153"/>
      <c r="F5" s="156"/>
      <c r="G5" s="131"/>
      <c r="H5" s="133"/>
      <c r="I5" s="162"/>
      <c r="J5" s="129"/>
      <c r="K5" s="131"/>
      <c r="L5" s="133"/>
      <c r="M5" s="162"/>
      <c r="N5" s="165"/>
    </row>
    <row r="6" spans="1:14" ht="20.100000000000001" customHeight="1" thickTop="1" x14ac:dyDescent="0.15">
      <c r="A6" s="117" t="s">
        <v>80</v>
      </c>
      <c r="B6" s="118" t="s">
        <v>81</v>
      </c>
      <c r="C6" s="9" t="s">
        <v>19</v>
      </c>
      <c r="D6" s="4" t="s">
        <v>25</v>
      </c>
      <c r="E6" s="6" t="s">
        <v>26</v>
      </c>
      <c r="F6" s="10">
        <v>3</v>
      </c>
      <c r="G6" s="11">
        <v>3</v>
      </c>
      <c r="H6" s="9"/>
      <c r="I6" s="12"/>
      <c r="J6" s="10"/>
      <c r="K6" s="11"/>
      <c r="L6" s="9"/>
      <c r="M6" s="102">
        <v>21</v>
      </c>
      <c r="N6" s="116">
        <v>8</v>
      </c>
    </row>
    <row r="7" spans="1:14" ht="20.100000000000001" customHeight="1" x14ac:dyDescent="0.15">
      <c r="A7" s="117"/>
      <c r="B7" s="119"/>
      <c r="C7" s="13" t="s">
        <v>20</v>
      </c>
      <c r="D7" s="14" t="s">
        <v>25</v>
      </c>
      <c r="E7" s="15" t="s">
        <v>26</v>
      </c>
      <c r="F7" s="16">
        <v>3</v>
      </c>
      <c r="G7" s="17"/>
      <c r="H7" s="13">
        <v>3</v>
      </c>
      <c r="I7" s="14"/>
      <c r="J7" s="16"/>
      <c r="K7" s="17"/>
      <c r="L7" s="13"/>
      <c r="M7" s="120"/>
      <c r="N7" s="121"/>
    </row>
    <row r="8" spans="1:14" ht="20.100000000000001" customHeight="1" x14ac:dyDescent="0.15">
      <c r="A8" s="117"/>
      <c r="B8" s="119"/>
      <c r="C8" s="13" t="s">
        <v>21</v>
      </c>
      <c r="D8" s="14" t="s">
        <v>25</v>
      </c>
      <c r="E8" s="15" t="s">
        <v>27</v>
      </c>
      <c r="F8" s="16">
        <v>4</v>
      </c>
      <c r="G8" s="17"/>
      <c r="H8" s="13"/>
      <c r="I8" s="14">
        <v>4</v>
      </c>
      <c r="J8" s="16"/>
      <c r="K8" s="17"/>
      <c r="L8" s="13"/>
      <c r="M8" s="120"/>
      <c r="N8" s="121"/>
    </row>
    <row r="9" spans="1:14" ht="20.100000000000001" customHeight="1" x14ac:dyDescent="0.15">
      <c r="A9" s="117"/>
      <c r="B9" s="119"/>
      <c r="C9" s="13" t="s">
        <v>22</v>
      </c>
      <c r="D9" s="14" t="s">
        <v>25</v>
      </c>
      <c r="E9" s="15" t="s">
        <v>27</v>
      </c>
      <c r="F9" s="16">
        <v>4</v>
      </c>
      <c r="G9" s="17"/>
      <c r="H9" s="13"/>
      <c r="I9" s="14"/>
      <c r="J9" s="16">
        <v>4</v>
      </c>
      <c r="K9" s="17"/>
      <c r="L9" s="13"/>
      <c r="M9" s="120"/>
      <c r="N9" s="121"/>
    </row>
    <row r="10" spans="1:14" ht="20.100000000000001" customHeight="1" x14ac:dyDescent="0.15">
      <c r="A10" s="117"/>
      <c r="B10" s="119"/>
      <c r="C10" s="13" t="s">
        <v>23</v>
      </c>
      <c r="D10" s="14" t="s">
        <v>25</v>
      </c>
      <c r="E10" s="15" t="s">
        <v>27</v>
      </c>
      <c r="F10" s="16">
        <v>4</v>
      </c>
      <c r="G10" s="17"/>
      <c r="H10" s="13"/>
      <c r="I10" s="14"/>
      <c r="J10" s="16"/>
      <c r="K10" s="17">
        <v>4</v>
      </c>
      <c r="L10" s="13"/>
      <c r="M10" s="120"/>
      <c r="N10" s="121"/>
    </row>
    <row r="11" spans="1:14" ht="20.100000000000001" customHeight="1" x14ac:dyDescent="0.15">
      <c r="A11" s="117"/>
      <c r="B11" s="119"/>
      <c r="C11" s="13" t="s">
        <v>24</v>
      </c>
      <c r="D11" s="14" t="s">
        <v>25</v>
      </c>
      <c r="E11" s="15" t="s">
        <v>28</v>
      </c>
      <c r="F11" s="16">
        <v>3</v>
      </c>
      <c r="G11" s="17"/>
      <c r="H11" s="13"/>
      <c r="I11" s="14"/>
      <c r="J11" s="16"/>
      <c r="K11" s="17"/>
      <c r="L11" s="13">
        <v>3</v>
      </c>
      <c r="M11" s="120"/>
      <c r="N11" s="121"/>
    </row>
    <row r="12" spans="1:14" ht="20.100000000000001" customHeight="1" x14ac:dyDescent="0.15">
      <c r="A12" s="117"/>
      <c r="B12" s="122" t="s">
        <v>82</v>
      </c>
      <c r="C12" s="18" t="s">
        <v>34</v>
      </c>
      <c r="D12" s="19" t="s">
        <v>25</v>
      </c>
      <c r="E12" s="20" t="s">
        <v>26</v>
      </c>
      <c r="F12" s="21">
        <v>4</v>
      </c>
      <c r="G12" s="22">
        <v>4</v>
      </c>
      <c r="H12" s="18"/>
      <c r="I12" s="19"/>
      <c r="J12" s="21"/>
      <c r="K12" s="22"/>
      <c r="L12" s="18"/>
      <c r="M12" s="86">
        <v>24</v>
      </c>
      <c r="N12" s="110">
        <v>8</v>
      </c>
    </row>
    <row r="13" spans="1:14" ht="20.100000000000001" customHeight="1" x14ac:dyDescent="0.15">
      <c r="A13" s="117"/>
      <c r="B13" s="122"/>
      <c r="C13" s="18" t="s">
        <v>29</v>
      </c>
      <c r="D13" s="19" t="s">
        <v>25</v>
      </c>
      <c r="E13" s="20" t="s">
        <v>76</v>
      </c>
      <c r="F13" s="21">
        <v>4</v>
      </c>
      <c r="G13" s="22"/>
      <c r="H13" s="18">
        <v>4</v>
      </c>
      <c r="I13" s="19"/>
      <c r="J13" s="21"/>
      <c r="K13" s="22"/>
      <c r="L13" s="18"/>
      <c r="M13" s="86"/>
      <c r="N13" s="110"/>
    </row>
    <row r="14" spans="1:14" ht="20.100000000000001" customHeight="1" x14ac:dyDescent="0.15">
      <c r="A14" s="117"/>
      <c r="B14" s="122"/>
      <c r="C14" s="18" t="s">
        <v>30</v>
      </c>
      <c r="D14" s="19" t="s">
        <v>25</v>
      </c>
      <c r="E14" s="20" t="s">
        <v>27</v>
      </c>
      <c r="F14" s="21">
        <v>4</v>
      </c>
      <c r="G14" s="22"/>
      <c r="H14" s="18"/>
      <c r="I14" s="19">
        <v>4</v>
      </c>
      <c r="J14" s="21"/>
      <c r="K14" s="22"/>
      <c r="L14" s="18"/>
      <c r="M14" s="86"/>
      <c r="N14" s="110"/>
    </row>
    <row r="15" spans="1:14" ht="20.100000000000001" customHeight="1" x14ac:dyDescent="0.15">
      <c r="A15" s="117"/>
      <c r="B15" s="122"/>
      <c r="C15" s="18" t="s">
        <v>31</v>
      </c>
      <c r="D15" s="19" t="s">
        <v>25</v>
      </c>
      <c r="E15" s="20" t="s">
        <v>27</v>
      </c>
      <c r="F15" s="21">
        <v>4</v>
      </c>
      <c r="G15" s="22"/>
      <c r="H15" s="18"/>
      <c r="I15" s="19">
        <v>4</v>
      </c>
      <c r="J15" s="21"/>
      <c r="K15" s="22"/>
      <c r="L15" s="18"/>
      <c r="M15" s="86"/>
      <c r="N15" s="110"/>
    </row>
    <row r="16" spans="1:14" ht="20.100000000000001" customHeight="1" x14ac:dyDescent="0.15">
      <c r="A16" s="117"/>
      <c r="B16" s="122"/>
      <c r="C16" s="18" t="s">
        <v>32</v>
      </c>
      <c r="D16" s="19" t="s">
        <v>25</v>
      </c>
      <c r="E16" s="20" t="s">
        <v>27</v>
      </c>
      <c r="F16" s="21">
        <v>4</v>
      </c>
      <c r="G16" s="22"/>
      <c r="H16" s="18"/>
      <c r="I16" s="19"/>
      <c r="J16" s="21">
        <v>4</v>
      </c>
      <c r="K16" s="22"/>
      <c r="L16" s="18"/>
      <c r="M16" s="86"/>
      <c r="N16" s="110"/>
    </row>
    <row r="17" spans="1:14" ht="20.100000000000001" customHeight="1" x14ac:dyDescent="0.15">
      <c r="A17" s="117"/>
      <c r="B17" s="122"/>
      <c r="C17" s="18" t="s">
        <v>33</v>
      </c>
      <c r="D17" s="19" t="s">
        <v>25</v>
      </c>
      <c r="E17" s="20" t="s">
        <v>28</v>
      </c>
      <c r="F17" s="21">
        <v>4</v>
      </c>
      <c r="G17" s="22"/>
      <c r="H17" s="18"/>
      <c r="I17" s="19"/>
      <c r="J17" s="21"/>
      <c r="K17" s="22"/>
      <c r="L17" s="18">
        <v>4</v>
      </c>
      <c r="M17" s="109"/>
      <c r="N17" s="110"/>
    </row>
    <row r="18" spans="1:14" ht="20.100000000000001" customHeight="1" x14ac:dyDescent="0.15">
      <c r="A18" s="117"/>
      <c r="B18" s="111" t="s">
        <v>83</v>
      </c>
      <c r="C18" s="13" t="s">
        <v>35</v>
      </c>
      <c r="D18" s="14" t="s">
        <v>25</v>
      </c>
      <c r="E18" s="15" t="s">
        <v>26</v>
      </c>
      <c r="F18" s="16">
        <v>3</v>
      </c>
      <c r="G18" s="17">
        <v>3</v>
      </c>
      <c r="H18" s="13"/>
      <c r="I18" s="14"/>
      <c r="J18" s="16"/>
      <c r="K18" s="17"/>
      <c r="L18" s="13"/>
      <c r="M18" s="120">
        <v>22</v>
      </c>
      <c r="N18" s="121">
        <v>8</v>
      </c>
    </row>
    <row r="19" spans="1:14" ht="20.100000000000001" customHeight="1" x14ac:dyDescent="0.15">
      <c r="A19" s="117"/>
      <c r="B19" s="111"/>
      <c r="C19" s="13" t="s">
        <v>36</v>
      </c>
      <c r="D19" s="14" t="s">
        <v>25</v>
      </c>
      <c r="E19" s="15" t="s">
        <v>26</v>
      </c>
      <c r="F19" s="16">
        <v>3</v>
      </c>
      <c r="G19" s="17"/>
      <c r="H19" s="13">
        <v>3</v>
      </c>
      <c r="I19" s="14"/>
      <c r="J19" s="16"/>
      <c r="K19" s="17"/>
      <c r="L19" s="13"/>
      <c r="M19" s="120"/>
      <c r="N19" s="121"/>
    </row>
    <row r="20" spans="1:14" ht="20.100000000000001" customHeight="1" x14ac:dyDescent="0.15">
      <c r="A20" s="117"/>
      <c r="B20" s="111"/>
      <c r="C20" s="13" t="s">
        <v>37</v>
      </c>
      <c r="D20" s="14" t="s">
        <v>25</v>
      </c>
      <c r="E20" s="15" t="s">
        <v>27</v>
      </c>
      <c r="F20" s="16">
        <v>4</v>
      </c>
      <c r="G20" s="17"/>
      <c r="H20" s="13"/>
      <c r="I20" s="14">
        <v>4</v>
      </c>
      <c r="J20" s="16"/>
      <c r="K20" s="17"/>
      <c r="L20" s="13"/>
      <c r="M20" s="120"/>
      <c r="N20" s="121"/>
    </row>
    <row r="21" spans="1:14" ht="20.100000000000001" customHeight="1" x14ac:dyDescent="0.15">
      <c r="A21" s="117"/>
      <c r="B21" s="111"/>
      <c r="C21" s="13" t="s">
        <v>38</v>
      </c>
      <c r="D21" s="14" t="s">
        <v>25</v>
      </c>
      <c r="E21" s="15" t="s">
        <v>27</v>
      </c>
      <c r="F21" s="16">
        <v>4</v>
      </c>
      <c r="G21" s="17"/>
      <c r="H21" s="13"/>
      <c r="I21" s="23"/>
      <c r="J21" s="16">
        <v>4</v>
      </c>
      <c r="K21" s="17"/>
      <c r="L21" s="13"/>
      <c r="M21" s="120"/>
      <c r="N21" s="121"/>
    </row>
    <row r="22" spans="1:14" ht="20.100000000000001" customHeight="1" x14ac:dyDescent="0.15">
      <c r="A22" s="117"/>
      <c r="B22" s="111"/>
      <c r="C22" s="13" t="s">
        <v>39</v>
      </c>
      <c r="D22" s="14" t="s">
        <v>25</v>
      </c>
      <c r="E22" s="15" t="s">
        <v>28</v>
      </c>
      <c r="F22" s="16">
        <v>4</v>
      </c>
      <c r="G22" s="17"/>
      <c r="H22" s="13"/>
      <c r="I22" s="23"/>
      <c r="J22" s="16"/>
      <c r="K22" s="17">
        <v>4</v>
      </c>
      <c r="L22" s="13"/>
      <c r="M22" s="120"/>
      <c r="N22" s="121"/>
    </row>
    <row r="23" spans="1:14" ht="20.100000000000001" customHeight="1" x14ac:dyDescent="0.15">
      <c r="A23" s="117"/>
      <c r="B23" s="111"/>
      <c r="C23" s="13" t="s">
        <v>40</v>
      </c>
      <c r="D23" s="14" t="s">
        <v>25</v>
      </c>
      <c r="E23" s="15" t="s">
        <v>28</v>
      </c>
      <c r="F23" s="16">
        <v>4</v>
      </c>
      <c r="G23" s="17"/>
      <c r="H23" s="13"/>
      <c r="I23" s="23"/>
      <c r="J23" s="16"/>
      <c r="K23" s="17"/>
      <c r="L23" s="13">
        <v>4</v>
      </c>
      <c r="M23" s="120"/>
      <c r="N23" s="121"/>
    </row>
    <row r="24" spans="1:14" ht="20.100000000000001" customHeight="1" x14ac:dyDescent="0.15">
      <c r="A24" s="117"/>
      <c r="B24" s="123" t="s">
        <v>84</v>
      </c>
      <c r="C24" s="18" t="s">
        <v>41</v>
      </c>
      <c r="D24" s="19" t="s">
        <v>25</v>
      </c>
      <c r="E24" s="20" t="s">
        <v>26</v>
      </c>
      <c r="F24" s="21">
        <v>3</v>
      </c>
      <c r="G24" s="22">
        <v>3</v>
      </c>
      <c r="H24" s="18"/>
      <c r="I24" s="19"/>
      <c r="J24" s="24"/>
      <c r="K24" s="22"/>
      <c r="L24" s="18"/>
      <c r="M24" s="98">
        <v>6</v>
      </c>
      <c r="N24" s="126">
        <v>6</v>
      </c>
    </row>
    <row r="25" spans="1:14" ht="20.100000000000001" customHeight="1" x14ac:dyDescent="0.15">
      <c r="A25" s="117"/>
      <c r="B25" s="124"/>
      <c r="C25" s="18" t="s">
        <v>42</v>
      </c>
      <c r="D25" s="19" t="s">
        <v>25</v>
      </c>
      <c r="E25" s="20" t="s">
        <v>26</v>
      </c>
      <c r="F25" s="21">
        <v>3</v>
      </c>
      <c r="G25" s="22"/>
      <c r="H25" s="18">
        <v>3</v>
      </c>
      <c r="I25" s="19"/>
      <c r="J25" s="24"/>
      <c r="K25" s="22"/>
      <c r="L25" s="18"/>
      <c r="M25" s="100"/>
      <c r="N25" s="127"/>
    </row>
    <row r="26" spans="1:14" ht="20.100000000000001" customHeight="1" x14ac:dyDescent="0.15">
      <c r="A26" s="117"/>
      <c r="B26" s="124"/>
      <c r="C26" s="18" t="s">
        <v>43</v>
      </c>
      <c r="D26" s="19" t="s">
        <v>25</v>
      </c>
      <c r="E26" s="20" t="s">
        <v>26</v>
      </c>
      <c r="F26" s="21">
        <v>3</v>
      </c>
      <c r="G26" s="22">
        <v>3</v>
      </c>
      <c r="H26" s="18"/>
      <c r="I26" s="19"/>
      <c r="J26" s="21"/>
      <c r="K26" s="25"/>
      <c r="L26" s="26"/>
      <c r="M26" s="98">
        <v>7</v>
      </c>
      <c r="N26" s="126">
        <v>8</v>
      </c>
    </row>
    <row r="27" spans="1:14" ht="20.100000000000001" customHeight="1" x14ac:dyDescent="0.15">
      <c r="A27" s="117"/>
      <c r="B27" s="125"/>
      <c r="C27" s="18" t="s">
        <v>44</v>
      </c>
      <c r="D27" s="19" t="s">
        <v>25</v>
      </c>
      <c r="E27" s="20" t="s">
        <v>26</v>
      </c>
      <c r="F27" s="21">
        <v>4</v>
      </c>
      <c r="G27" s="22"/>
      <c r="H27" s="18">
        <v>4</v>
      </c>
      <c r="I27" s="19"/>
      <c r="J27" s="21"/>
      <c r="K27" s="25"/>
      <c r="L27" s="26"/>
      <c r="M27" s="100"/>
      <c r="N27" s="127"/>
    </row>
    <row r="28" spans="1:14" ht="20.100000000000001" customHeight="1" x14ac:dyDescent="0.15">
      <c r="A28" s="117"/>
      <c r="B28" s="119" t="s">
        <v>85</v>
      </c>
      <c r="C28" s="13" t="s">
        <v>48</v>
      </c>
      <c r="D28" s="14" t="s">
        <v>25</v>
      </c>
      <c r="E28" s="15" t="s">
        <v>26</v>
      </c>
      <c r="F28" s="16">
        <v>4</v>
      </c>
      <c r="G28" s="17">
        <v>4</v>
      </c>
      <c r="H28" s="13"/>
      <c r="I28" s="14"/>
      <c r="J28" s="16"/>
      <c r="K28" s="27"/>
      <c r="L28" s="28"/>
      <c r="M28" s="134">
        <v>9</v>
      </c>
      <c r="N28" s="114">
        <v>10</v>
      </c>
    </row>
    <row r="29" spans="1:14" ht="20.100000000000001" customHeight="1" x14ac:dyDescent="0.15">
      <c r="A29" s="117"/>
      <c r="B29" s="119"/>
      <c r="C29" s="13" t="s">
        <v>45</v>
      </c>
      <c r="D29" s="14" t="s">
        <v>25</v>
      </c>
      <c r="E29" s="15" t="s">
        <v>26</v>
      </c>
      <c r="F29" s="16">
        <v>3</v>
      </c>
      <c r="G29" s="17"/>
      <c r="H29" s="13">
        <v>3</v>
      </c>
      <c r="I29" s="14"/>
      <c r="J29" s="16"/>
      <c r="K29" s="27"/>
      <c r="L29" s="28"/>
      <c r="M29" s="135"/>
      <c r="N29" s="115"/>
    </row>
    <row r="30" spans="1:14" ht="20.100000000000001" customHeight="1" x14ac:dyDescent="0.15">
      <c r="A30" s="117"/>
      <c r="B30" s="119"/>
      <c r="C30" s="13" t="s">
        <v>46</v>
      </c>
      <c r="D30" s="14" t="s">
        <v>25</v>
      </c>
      <c r="E30" s="15" t="s">
        <v>26</v>
      </c>
      <c r="F30" s="16">
        <v>1</v>
      </c>
      <c r="G30" s="17">
        <v>1</v>
      </c>
      <c r="H30" s="13"/>
      <c r="I30" s="14"/>
      <c r="J30" s="16"/>
      <c r="K30" s="27"/>
      <c r="L30" s="28"/>
      <c r="M30" s="135"/>
      <c r="N30" s="115"/>
    </row>
    <row r="31" spans="1:14" ht="20.100000000000001" customHeight="1" x14ac:dyDescent="0.15">
      <c r="A31" s="117"/>
      <c r="B31" s="119"/>
      <c r="C31" s="13" t="s">
        <v>47</v>
      </c>
      <c r="D31" s="14" t="s">
        <v>25</v>
      </c>
      <c r="E31" s="15" t="s">
        <v>26</v>
      </c>
      <c r="F31" s="16">
        <v>1</v>
      </c>
      <c r="G31" s="17"/>
      <c r="H31" s="13">
        <v>1</v>
      </c>
      <c r="I31" s="14"/>
      <c r="J31" s="16"/>
      <c r="K31" s="17"/>
      <c r="L31" s="13"/>
      <c r="M31" s="136"/>
      <c r="N31" s="116"/>
    </row>
    <row r="32" spans="1:14" ht="20.100000000000001" customHeight="1" x14ac:dyDescent="0.15">
      <c r="A32" s="117"/>
      <c r="B32" s="85" t="s">
        <v>86</v>
      </c>
      <c r="C32" s="18" t="s">
        <v>49</v>
      </c>
      <c r="D32" s="19" t="s">
        <v>25</v>
      </c>
      <c r="E32" s="20" t="s">
        <v>73</v>
      </c>
      <c r="F32" s="21">
        <v>2</v>
      </c>
      <c r="G32" s="22">
        <v>2</v>
      </c>
      <c r="H32" s="18"/>
      <c r="I32" s="19"/>
      <c r="J32" s="21"/>
      <c r="K32" s="22"/>
      <c r="L32" s="18"/>
      <c r="M32" s="109">
        <v>11</v>
      </c>
      <c r="N32" s="110">
        <v>10</v>
      </c>
    </row>
    <row r="33" spans="1:14" ht="20.100000000000001" customHeight="1" x14ac:dyDescent="0.15">
      <c r="A33" s="117"/>
      <c r="B33" s="85"/>
      <c r="C33" s="18" t="s">
        <v>50</v>
      </c>
      <c r="D33" s="19" t="s">
        <v>25</v>
      </c>
      <c r="E33" s="20" t="s">
        <v>27</v>
      </c>
      <c r="F33" s="21">
        <v>2</v>
      </c>
      <c r="G33" s="22"/>
      <c r="H33" s="18">
        <v>2</v>
      </c>
      <c r="I33" s="19"/>
      <c r="J33" s="21"/>
      <c r="K33" s="22"/>
      <c r="L33" s="18"/>
      <c r="M33" s="109"/>
      <c r="N33" s="110"/>
    </row>
    <row r="34" spans="1:14" ht="20.100000000000001" customHeight="1" x14ac:dyDescent="0.15">
      <c r="A34" s="117"/>
      <c r="B34" s="85"/>
      <c r="C34" s="18" t="s">
        <v>51</v>
      </c>
      <c r="D34" s="19" t="s">
        <v>25</v>
      </c>
      <c r="E34" s="20" t="s">
        <v>52</v>
      </c>
      <c r="F34" s="21">
        <v>2</v>
      </c>
      <c r="G34" s="22"/>
      <c r="H34" s="18"/>
      <c r="I34" s="19">
        <v>2</v>
      </c>
      <c r="J34" s="21"/>
      <c r="K34" s="22"/>
      <c r="L34" s="18"/>
      <c r="M34" s="109"/>
      <c r="N34" s="110"/>
    </row>
    <row r="35" spans="1:14" ht="20.100000000000001" customHeight="1" x14ac:dyDescent="0.15">
      <c r="A35" s="117"/>
      <c r="B35" s="85"/>
      <c r="C35" s="18" t="s">
        <v>53</v>
      </c>
      <c r="D35" s="19" t="s">
        <v>25</v>
      </c>
      <c r="E35" s="20" t="s">
        <v>52</v>
      </c>
      <c r="F35" s="21">
        <v>2</v>
      </c>
      <c r="G35" s="22"/>
      <c r="H35" s="18"/>
      <c r="I35" s="19"/>
      <c r="J35" s="21">
        <v>2</v>
      </c>
      <c r="K35" s="22"/>
      <c r="L35" s="18"/>
      <c r="M35" s="109"/>
      <c r="N35" s="110"/>
    </row>
    <row r="36" spans="1:14" ht="20.100000000000001" customHeight="1" x14ac:dyDescent="0.15">
      <c r="A36" s="117"/>
      <c r="B36" s="85"/>
      <c r="C36" s="18" t="s">
        <v>54</v>
      </c>
      <c r="D36" s="19" t="s">
        <v>25</v>
      </c>
      <c r="E36" s="20" t="s">
        <v>28</v>
      </c>
      <c r="F36" s="21">
        <v>1</v>
      </c>
      <c r="G36" s="22"/>
      <c r="H36" s="18"/>
      <c r="I36" s="19"/>
      <c r="J36" s="21"/>
      <c r="K36" s="22">
        <v>2</v>
      </c>
      <c r="L36" s="18"/>
      <c r="M36" s="109"/>
      <c r="N36" s="110"/>
    </row>
    <row r="37" spans="1:14" ht="20.100000000000001" customHeight="1" x14ac:dyDescent="0.15">
      <c r="A37" s="117"/>
      <c r="B37" s="85"/>
      <c r="C37" s="18" t="s">
        <v>55</v>
      </c>
      <c r="D37" s="19" t="s">
        <v>25</v>
      </c>
      <c r="E37" s="20" t="s">
        <v>28</v>
      </c>
      <c r="F37" s="21">
        <v>1</v>
      </c>
      <c r="G37" s="22"/>
      <c r="H37" s="18"/>
      <c r="I37" s="19"/>
      <c r="J37" s="21"/>
      <c r="K37" s="22"/>
      <c r="L37" s="18">
        <v>1</v>
      </c>
      <c r="M37" s="109"/>
      <c r="N37" s="110"/>
    </row>
    <row r="38" spans="1:14" ht="20.100000000000001" customHeight="1" x14ac:dyDescent="0.15">
      <c r="A38" s="117"/>
      <c r="B38" s="111" t="s">
        <v>68</v>
      </c>
      <c r="C38" s="13" t="s">
        <v>56</v>
      </c>
      <c r="D38" s="14" t="s">
        <v>25</v>
      </c>
      <c r="E38" s="15" t="s">
        <v>27</v>
      </c>
      <c r="F38" s="16">
        <v>2</v>
      </c>
      <c r="G38" s="17">
        <v>2</v>
      </c>
      <c r="H38" s="29" t="s">
        <v>78</v>
      </c>
      <c r="I38" s="14"/>
      <c r="J38" s="16"/>
      <c r="K38" s="17"/>
      <c r="L38" s="13"/>
      <c r="M38" s="112">
        <v>4</v>
      </c>
      <c r="N38" s="113">
        <v>10</v>
      </c>
    </row>
    <row r="39" spans="1:14" ht="20.100000000000001" customHeight="1" x14ac:dyDescent="0.15">
      <c r="A39" s="117"/>
      <c r="B39" s="111"/>
      <c r="C39" s="13" t="s">
        <v>57</v>
      </c>
      <c r="D39" s="14" t="s">
        <v>25</v>
      </c>
      <c r="E39" s="15" t="s">
        <v>27</v>
      </c>
      <c r="F39" s="16">
        <v>2</v>
      </c>
      <c r="G39" s="30" t="s">
        <v>78</v>
      </c>
      <c r="H39" s="13">
        <v>2</v>
      </c>
      <c r="I39" s="14"/>
      <c r="J39" s="16"/>
      <c r="K39" s="17"/>
      <c r="L39" s="13"/>
      <c r="M39" s="112"/>
      <c r="N39" s="113"/>
    </row>
    <row r="40" spans="1:14" ht="20.100000000000001" customHeight="1" x14ac:dyDescent="0.15">
      <c r="A40" s="117"/>
      <c r="B40" s="84" t="s">
        <v>91</v>
      </c>
      <c r="C40" s="31" t="s">
        <v>58</v>
      </c>
      <c r="D40" s="19" t="s">
        <v>25</v>
      </c>
      <c r="E40" s="20" t="s">
        <v>27</v>
      </c>
      <c r="F40" s="21">
        <v>3</v>
      </c>
      <c r="G40" s="22">
        <v>3</v>
      </c>
      <c r="H40" s="18"/>
      <c r="I40" s="19"/>
      <c r="J40" s="21"/>
      <c r="K40" s="22"/>
      <c r="L40" s="18"/>
      <c r="M40" s="86">
        <v>6</v>
      </c>
      <c r="N40" s="87">
        <v>16</v>
      </c>
    </row>
    <row r="41" spans="1:14" ht="20.100000000000001" customHeight="1" x14ac:dyDescent="0.15">
      <c r="A41" s="117"/>
      <c r="B41" s="84"/>
      <c r="C41" s="31" t="s">
        <v>59</v>
      </c>
      <c r="D41" s="19" t="s">
        <v>25</v>
      </c>
      <c r="E41" s="20" t="s">
        <v>27</v>
      </c>
      <c r="F41" s="21">
        <v>3</v>
      </c>
      <c r="G41" s="22"/>
      <c r="H41" s="18">
        <v>3</v>
      </c>
      <c r="I41" s="19"/>
      <c r="J41" s="21"/>
      <c r="K41" s="22"/>
      <c r="L41" s="18"/>
      <c r="M41" s="86"/>
      <c r="N41" s="88"/>
    </row>
    <row r="42" spans="1:14" ht="20.100000000000001" customHeight="1" thickBot="1" x14ac:dyDescent="0.2">
      <c r="A42" s="32"/>
      <c r="B42" s="89" t="s">
        <v>11</v>
      </c>
      <c r="C42" s="90"/>
      <c r="D42" s="90"/>
      <c r="E42" s="90"/>
      <c r="F42" s="90"/>
      <c r="G42" s="33">
        <f t="shared" ref="G42:L42" si="0">SUM(G6:G41)</f>
        <v>28</v>
      </c>
      <c r="H42" s="34">
        <f t="shared" si="0"/>
        <v>28</v>
      </c>
      <c r="I42" s="33">
        <f t="shared" si="0"/>
        <v>18</v>
      </c>
      <c r="J42" s="34">
        <f t="shared" si="0"/>
        <v>14</v>
      </c>
      <c r="K42" s="35">
        <f t="shared" si="0"/>
        <v>10</v>
      </c>
      <c r="L42" s="36">
        <f t="shared" si="0"/>
        <v>12</v>
      </c>
      <c r="M42" s="37">
        <f>SUM(G42:L42)</f>
        <v>110</v>
      </c>
      <c r="N42" s="38">
        <f>SUM(N6:N41)</f>
        <v>84</v>
      </c>
    </row>
    <row r="43" spans="1:14" ht="20.100000000000001" customHeight="1" x14ac:dyDescent="0.15">
      <c r="A43" s="82" t="s">
        <v>79</v>
      </c>
      <c r="B43" s="39" t="s">
        <v>18</v>
      </c>
      <c r="C43" s="66" t="s">
        <v>60</v>
      </c>
      <c r="D43" s="40" t="s">
        <v>69</v>
      </c>
      <c r="E43" s="41" t="s">
        <v>27</v>
      </c>
      <c r="F43" s="42">
        <v>4</v>
      </c>
      <c r="G43" s="43"/>
      <c r="H43" s="44"/>
      <c r="I43" s="45"/>
      <c r="J43" s="46">
        <v>4</v>
      </c>
      <c r="K43" s="47"/>
      <c r="L43" s="48"/>
      <c r="M43" s="96">
        <v>10</v>
      </c>
      <c r="N43" s="93"/>
    </row>
    <row r="44" spans="1:14" ht="30" customHeight="1" x14ac:dyDescent="0.15">
      <c r="A44" s="83"/>
      <c r="B44" s="49" t="s">
        <v>88</v>
      </c>
      <c r="C44" s="67" t="s">
        <v>96</v>
      </c>
      <c r="D44" s="14" t="s">
        <v>70</v>
      </c>
      <c r="E44" s="50" t="s">
        <v>77</v>
      </c>
      <c r="F44" s="51">
        <v>3</v>
      </c>
      <c r="G44" s="11"/>
      <c r="H44" s="13"/>
      <c r="I44" s="14"/>
      <c r="J44" s="16"/>
      <c r="K44" s="17">
        <v>6</v>
      </c>
      <c r="L44" s="9"/>
      <c r="M44" s="97"/>
      <c r="N44" s="94"/>
    </row>
    <row r="45" spans="1:14" ht="45" customHeight="1" x14ac:dyDescent="0.15">
      <c r="A45" s="83"/>
      <c r="B45" s="103" t="s">
        <v>61</v>
      </c>
      <c r="C45" s="31" t="s">
        <v>97</v>
      </c>
      <c r="D45" s="5" t="s">
        <v>71</v>
      </c>
      <c r="E45" s="8" t="s">
        <v>73</v>
      </c>
      <c r="F45" s="52">
        <v>3</v>
      </c>
      <c r="G45" s="53"/>
      <c r="H45" s="18"/>
      <c r="I45" s="19">
        <v>9</v>
      </c>
      <c r="J45" s="21"/>
      <c r="K45" s="22"/>
      <c r="L45" s="54"/>
      <c r="M45" s="98">
        <v>36</v>
      </c>
      <c r="N45" s="94"/>
    </row>
    <row r="46" spans="1:14" ht="84.75" customHeight="1" x14ac:dyDescent="0.15">
      <c r="A46" s="83"/>
      <c r="B46" s="104"/>
      <c r="C46" s="68" t="s">
        <v>92</v>
      </c>
      <c r="D46" s="5" t="s">
        <v>71</v>
      </c>
      <c r="E46" s="8" t="s">
        <v>74</v>
      </c>
      <c r="F46" s="52">
        <v>3</v>
      </c>
      <c r="G46" s="53"/>
      <c r="H46" s="18"/>
      <c r="I46" s="19"/>
      <c r="J46" s="21">
        <v>9</v>
      </c>
      <c r="K46" s="22"/>
      <c r="L46" s="54"/>
      <c r="M46" s="99"/>
      <c r="N46" s="94"/>
    </row>
    <row r="47" spans="1:14" ht="69.95" customHeight="1" x14ac:dyDescent="0.15">
      <c r="A47" s="83"/>
      <c r="B47" s="104"/>
      <c r="C47" s="68" t="s">
        <v>98</v>
      </c>
      <c r="D47" s="5" t="s">
        <v>71</v>
      </c>
      <c r="E47" s="55" t="s">
        <v>77</v>
      </c>
      <c r="F47" s="52">
        <v>3</v>
      </c>
      <c r="G47" s="53"/>
      <c r="H47" s="56"/>
      <c r="I47" s="57"/>
      <c r="J47" s="58"/>
      <c r="K47" s="59">
        <v>9</v>
      </c>
      <c r="L47" s="56"/>
      <c r="M47" s="99"/>
      <c r="N47" s="94"/>
    </row>
    <row r="48" spans="1:14" ht="30" customHeight="1" x14ac:dyDescent="0.15">
      <c r="A48" s="83"/>
      <c r="B48" s="105"/>
      <c r="C48" s="68" t="s">
        <v>99</v>
      </c>
      <c r="D48" s="5" t="s">
        <v>71</v>
      </c>
      <c r="E48" s="8" t="s">
        <v>75</v>
      </c>
      <c r="F48" s="52">
        <v>3</v>
      </c>
      <c r="G48" s="53"/>
      <c r="H48" s="18"/>
      <c r="I48" s="19"/>
      <c r="J48" s="21"/>
      <c r="K48" s="22"/>
      <c r="L48" s="18">
        <v>9</v>
      </c>
      <c r="M48" s="100"/>
      <c r="N48" s="94"/>
    </row>
    <row r="49" spans="1:18" ht="20.100000000000001" customHeight="1" x14ac:dyDescent="0.15">
      <c r="A49" s="83"/>
      <c r="B49" s="91" t="s">
        <v>66</v>
      </c>
      <c r="C49" s="69" t="s">
        <v>62</v>
      </c>
      <c r="D49" s="4" t="s">
        <v>72</v>
      </c>
      <c r="E49" s="6" t="s">
        <v>73</v>
      </c>
      <c r="F49" s="51">
        <v>3</v>
      </c>
      <c r="G49" s="11"/>
      <c r="H49" s="13"/>
      <c r="I49" s="14">
        <v>3</v>
      </c>
      <c r="J49" s="16"/>
      <c r="K49" s="17"/>
      <c r="L49" s="13"/>
      <c r="M49" s="101">
        <v>12</v>
      </c>
      <c r="N49" s="94"/>
    </row>
    <row r="50" spans="1:18" ht="20.100000000000001" customHeight="1" x14ac:dyDescent="0.15">
      <c r="A50" s="83"/>
      <c r="B50" s="92"/>
      <c r="C50" s="70" t="s">
        <v>63</v>
      </c>
      <c r="D50" s="4" t="s">
        <v>72</v>
      </c>
      <c r="E50" s="6" t="s">
        <v>74</v>
      </c>
      <c r="F50" s="51">
        <v>3</v>
      </c>
      <c r="G50" s="11"/>
      <c r="H50" s="13"/>
      <c r="I50" s="14"/>
      <c r="J50" s="16">
        <v>3</v>
      </c>
      <c r="K50" s="17"/>
      <c r="L50" s="13"/>
      <c r="M50" s="97"/>
      <c r="N50" s="94"/>
    </row>
    <row r="51" spans="1:18" ht="30" customHeight="1" x14ac:dyDescent="0.15">
      <c r="A51" s="83"/>
      <c r="B51" s="106" t="s">
        <v>67</v>
      </c>
      <c r="C51" s="71" t="s">
        <v>100</v>
      </c>
      <c r="D51" s="5" t="s">
        <v>69</v>
      </c>
      <c r="E51" s="7" t="s">
        <v>94</v>
      </c>
      <c r="F51" s="52">
        <v>2</v>
      </c>
      <c r="G51" s="53">
        <v>2</v>
      </c>
      <c r="H51" s="18"/>
      <c r="I51" s="19"/>
      <c r="J51" s="21"/>
      <c r="K51" s="22"/>
      <c r="L51" s="18"/>
      <c r="M51" s="97"/>
      <c r="N51" s="94"/>
    </row>
    <row r="52" spans="1:18" ht="30" customHeight="1" x14ac:dyDescent="0.15">
      <c r="A52" s="83"/>
      <c r="B52" s="107"/>
      <c r="C52" s="71" t="s">
        <v>90</v>
      </c>
      <c r="D52" s="5" t="s">
        <v>72</v>
      </c>
      <c r="E52" s="7" t="s">
        <v>74</v>
      </c>
      <c r="F52" s="52">
        <v>2</v>
      </c>
      <c r="G52" s="53"/>
      <c r="H52" s="18">
        <v>2</v>
      </c>
      <c r="I52" s="19"/>
      <c r="J52" s="21"/>
      <c r="K52" s="22"/>
      <c r="L52" s="18"/>
      <c r="M52" s="97"/>
      <c r="N52" s="94"/>
    </row>
    <row r="53" spans="1:18" ht="20.100000000000001" customHeight="1" x14ac:dyDescent="0.15">
      <c r="A53" s="83"/>
      <c r="B53" s="108"/>
      <c r="C53" s="68" t="s">
        <v>95</v>
      </c>
      <c r="D53" s="5" t="s">
        <v>72</v>
      </c>
      <c r="E53" s="7" t="s">
        <v>75</v>
      </c>
      <c r="F53" s="52">
        <v>2</v>
      </c>
      <c r="G53" s="53"/>
      <c r="H53" s="18"/>
      <c r="I53" s="19"/>
      <c r="J53" s="21"/>
      <c r="K53" s="22"/>
      <c r="L53" s="18">
        <v>2</v>
      </c>
      <c r="M53" s="102"/>
      <c r="N53" s="94"/>
    </row>
    <row r="54" spans="1:18" ht="20.100000000000001" customHeight="1" x14ac:dyDescent="0.15">
      <c r="A54" s="83"/>
      <c r="B54" s="91" t="s">
        <v>68</v>
      </c>
      <c r="C54" s="9" t="s">
        <v>64</v>
      </c>
      <c r="D54" s="4" t="s">
        <v>69</v>
      </c>
      <c r="E54" s="6" t="s">
        <v>28</v>
      </c>
      <c r="F54" s="51">
        <v>3</v>
      </c>
      <c r="G54" s="11"/>
      <c r="H54" s="13"/>
      <c r="I54" s="14"/>
      <c r="J54" s="16"/>
      <c r="K54" s="17">
        <v>3</v>
      </c>
      <c r="L54" s="13"/>
      <c r="M54" s="101">
        <v>6</v>
      </c>
      <c r="N54" s="94"/>
    </row>
    <row r="55" spans="1:18" ht="20.100000000000001" customHeight="1" x14ac:dyDescent="0.15">
      <c r="A55" s="83"/>
      <c r="B55" s="92"/>
      <c r="C55" s="9" t="s">
        <v>65</v>
      </c>
      <c r="D55" s="4" t="s">
        <v>69</v>
      </c>
      <c r="E55" s="6" t="s">
        <v>28</v>
      </c>
      <c r="F55" s="51">
        <v>3</v>
      </c>
      <c r="G55" s="11"/>
      <c r="H55" s="13"/>
      <c r="I55" s="14"/>
      <c r="J55" s="16"/>
      <c r="K55" s="17"/>
      <c r="L55" s="13">
        <v>3</v>
      </c>
      <c r="M55" s="102"/>
      <c r="N55" s="95"/>
    </row>
    <row r="56" spans="1:18" ht="20.100000000000001" customHeight="1" x14ac:dyDescent="0.15">
      <c r="A56" s="76" t="s">
        <v>10</v>
      </c>
      <c r="B56" s="77"/>
      <c r="C56" s="77"/>
      <c r="D56" s="77"/>
      <c r="E56" s="77"/>
      <c r="F56" s="78"/>
      <c r="G56" s="60">
        <f t="shared" ref="G56:L56" si="1">SUM(G42:G55)</f>
        <v>30</v>
      </c>
      <c r="H56" s="61">
        <f t="shared" si="1"/>
        <v>30</v>
      </c>
      <c r="I56" s="62">
        <f t="shared" si="1"/>
        <v>30</v>
      </c>
      <c r="J56" s="63">
        <f t="shared" si="1"/>
        <v>30</v>
      </c>
      <c r="K56" s="60">
        <f t="shared" si="1"/>
        <v>28</v>
      </c>
      <c r="L56" s="61">
        <f t="shared" si="1"/>
        <v>26</v>
      </c>
      <c r="M56" s="14">
        <f t="shared" ref="M56" si="2">SUM(G56:L56)</f>
        <v>174</v>
      </c>
      <c r="N56" s="64"/>
      <c r="R56" s="2"/>
    </row>
    <row r="57" spans="1:18" ht="20.100000000000001" customHeight="1" x14ac:dyDescent="0.15">
      <c r="A57" s="79" t="s">
        <v>15</v>
      </c>
      <c r="B57" s="80"/>
      <c r="C57" s="80"/>
      <c r="D57" s="80"/>
      <c r="E57" s="80"/>
      <c r="F57" s="81"/>
      <c r="G57" s="17">
        <v>3</v>
      </c>
      <c r="H57" s="13">
        <v>3</v>
      </c>
      <c r="I57" s="14">
        <v>3</v>
      </c>
      <c r="J57" s="16">
        <v>3</v>
      </c>
      <c r="K57" s="17">
        <v>3</v>
      </c>
      <c r="L57" s="13">
        <v>3</v>
      </c>
      <c r="M57" s="14">
        <v>18</v>
      </c>
      <c r="N57" s="64"/>
      <c r="R57" s="2"/>
    </row>
    <row r="58" spans="1:18" ht="20.100000000000001" customHeight="1" x14ac:dyDescent="0.15">
      <c r="A58" s="79" t="s">
        <v>16</v>
      </c>
      <c r="B58" s="80"/>
      <c r="C58" s="80"/>
      <c r="D58" s="80"/>
      <c r="E58" s="80"/>
      <c r="F58" s="81"/>
      <c r="G58" s="17">
        <f t="shared" ref="G58:L58" si="3">SUM(G56:G57)</f>
        <v>33</v>
      </c>
      <c r="H58" s="13">
        <f t="shared" si="3"/>
        <v>33</v>
      </c>
      <c r="I58" s="14">
        <f t="shared" si="3"/>
        <v>33</v>
      </c>
      <c r="J58" s="16">
        <f t="shared" si="3"/>
        <v>33</v>
      </c>
      <c r="K58" s="17">
        <f t="shared" si="3"/>
        <v>31</v>
      </c>
      <c r="L58" s="13">
        <f t="shared" si="3"/>
        <v>29</v>
      </c>
      <c r="M58" s="14">
        <f>SUM(G58:L58)</f>
        <v>192</v>
      </c>
      <c r="N58" s="64"/>
    </row>
    <row r="59" spans="1:18" ht="20.100000000000001" customHeight="1" thickBot="1" x14ac:dyDescent="0.2">
      <c r="A59" s="73" t="s">
        <v>17</v>
      </c>
      <c r="B59" s="74"/>
      <c r="C59" s="74"/>
      <c r="D59" s="74"/>
      <c r="E59" s="74"/>
      <c r="F59" s="75"/>
      <c r="G59" s="35">
        <v>11</v>
      </c>
      <c r="H59" s="36">
        <v>11</v>
      </c>
      <c r="I59" s="33">
        <v>9</v>
      </c>
      <c r="J59" s="34">
        <v>9</v>
      </c>
      <c r="K59" s="35">
        <v>9</v>
      </c>
      <c r="L59" s="36">
        <v>9</v>
      </c>
      <c r="M59" s="33"/>
      <c r="N59" s="65"/>
    </row>
  </sheetData>
  <mergeCells count="63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8:B31"/>
    <mergeCell ref="M28:M31"/>
    <mergeCell ref="N28:N31"/>
    <mergeCell ref="A6:A41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7"/>
    <mergeCell ref="M24:M25"/>
    <mergeCell ref="N24:N25"/>
    <mergeCell ref="M26:M27"/>
    <mergeCell ref="N26:N27"/>
    <mergeCell ref="M32:M37"/>
    <mergeCell ref="N32:N37"/>
    <mergeCell ref="B38:B39"/>
    <mergeCell ref="M38:M39"/>
    <mergeCell ref="N38:N39"/>
    <mergeCell ref="M40:M41"/>
    <mergeCell ref="N40:N41"/>
    <mergeCell ref="B42:F42"/>
    <mergeCell ref="B49:B50"/>
    <mergeCell ref="N43:N46"/>
    <mergeCell ref="N47:N55"/>
    <mergeCell ref="B54:B55"/>
    <mergeCell ref="M43:M44"/>
    <mergeCell ref="M45:M48"/>
    <mergeCell ref="M49:M53"/>
    <mergeCell ref="M54:M55"/>
    <mergeCell ref="B45:B48"/>
    <mergeCell ref="B51:B53"/>
    <mergeCell ref="A2:C2"/>
    <mergeCell ref="A59:F59"/>
    <mergeCell ref="A56:F56"/>
    <mergeCell ref="A57:F57"/>
    <mergeCell ref="A58:F58"/>
    <mergeCell ref="A43:A55"/>
    <mergeCell ref="B40:B41"/>
    <mergeCell ref="B32:B37"/>
  </mergeCells>
  <phoneticPr fontId="3" type="noConversion"/>
  <pageMargins left="0.69986110925674438" right="0.69986110925674438" top="0.75" bottom="0.75" header="0.30000001192092896" footer="0.30000001192092896"/>
  <pageSetup paperSize="9" scale="7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영동고</vt:lpstr>
      <vt:lpstr>영동고!Print_Area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수진 허</cp:lastModifiedBy>
  <cp:revision>6</cp:revision>
  <cp:lastPrinted>2024-05-01T02:10:16Z</cp:lastPrinted>
  <dcterms:created xsi:type="dcterms:W3CDTF">2002-10-10T04:04:10Z</dcterms:created>
  <dcterms:modified xsi:type="dcterms:W3CDTF">2025-10-13T07:48:17Z</dcterms:modified>
  <cp:version>0906.0100.01</cp:version>
</cp:coreProperties>
</file>