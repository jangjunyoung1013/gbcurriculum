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DD5A51-84F2-489A-BCCD-C3185B09A26C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일반고-2025학년도 입학생 3개년 교육과정" sheetId="16" r:id="rId1"/>
  </sheets>
  <definedNames>
    <definedName name="_xlnm.Print_Area" localSheetId="0">'일반고-2025학년도 입학생 3개년 교육과정'!$B$1:$O$108</definedName>
    <definedName name="_xlnm.Print_Titles" localSheetId="0">'일반고-2025학년도 입학생 3개년 교육과정'!$1:$4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6" i="16" l="1"/>
  <c r="N104" i="16" l="1"/>
  <c r="O41" i="16"/>
  <c r="I41" i="16"/>
  <c r="J41" i="16"/>
  <c r="K41" i="16"/>
  <c r="L41" i="16"/>
  <c r="M41" i="16"/>
  <c r="H41" i="16"/>
  <c r="H105" i="16" s="1"/>
  <c r="N40" i="16"/>
  <c r="N39" i="16"/>
  <c r="N28" i="16"/>
  <c r="N5" i="16"/>
  <c r="N34" i="16" l="1"/>
  <c r="N24" i="16"/>
  <c r="N22" i="16"/>
  <c r="N20" i="16"/>
  <c r="N15" i="16"/>
  <c r="N10" i="16"/>
  <c r="I105" i="16"/>
  <c r="J105" i="16"/>
  <c r="K105" i="16"/>
  <c r="L105" i="16"/>
  <c r="M105" i="16"/>
  <c r="N41" i="16" l="1"/>
  <c r="N105" i="16"/>
  <c r="N107" i="16" l="1"/>
</calcChain>
</file>

<file path=xl/sharedStrings.xml><?xml version="1.0" encoding="utf-8"?>
<sst xmlns="http://schemas.openxmlformats.org/spreadsheetml/2006/main" count="260" uniqueCount="156">
  <si>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</si>
  <si>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</si>
  <si>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</si>
  <si>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</si>
  <si>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</si>
  <si>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</si>
  <si>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</si>
  <si>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</si>
  <si>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</si>
  <si>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</si>
  <si>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</si>
  <si>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</si>
  <si>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</si>
  <si>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</si>
  <si>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</si>
  <si>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</si>
  <si>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</si>
  <si>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</si>
  <si>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</si>
  <si>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</si>
  <si>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</si>
  <si>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교양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</si>
  <si>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</si>
  <si>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</si>
  <si>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</si>
  <si>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</si>
  <si>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</si>
  <si>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</si>
  <si>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</si>
  <si>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</si>
  <si>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</si>
  <si>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</si>
  <si>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</si>
  <si>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</si>
  <si>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</si>
  <si>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</si>
  <si>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</si>
  <si>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</si>
  <si>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</si>
  <si>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</si>
  <si>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</si>
  <si>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</si>
  <si>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영어 발표와 토론</t>
    <phoneticPr fontId="7" type="noConversion"/>
  </si>
  <si>
    <t>미적분Ⅱ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</si>
  <si>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</si>
  <si>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</si>
  <si>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</si>
  <si>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</si>
  <si>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</si>
  <si>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</si>
  <si>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</si>
  <si>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</si>
  <si>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</si>
  <si>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</si>
  <si>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음악과 미디어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</si>
  <si>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</si>
  <si>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</si>
  <si>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</si>
  <si>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</si>
  <si>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</si>
  <si>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</si>
  <si>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</si>
  <si>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소프트웨어와 생활</t>
    <phoneticPr fontId="7" type="noConversion"/>
  </si>
  <si>
    <t>논술</t>
    <phoneticPr fontId="7" type="noConversion"/>
  </si>
  <si>
    <t>학교지정</t>
    <phoneticPr fontId="7" type="noConversion"/>
  </si>
  <si>
    <t>사 회
(역사/
도덕포함)</t>
    <phoneticPr fontId="7" type="noConversion"/>
  </si>
  <si>
    <t>과 학</t>
    <phoneticPr fontId="7" type="noConversion"/>
  </si>
  <si>
    <t>체 육</t>
    <phoneticPr fontId="7" type="noConversion"/>
  </si>
  <si>
    <t>예 술</t>
    <phoneticPr fontId="7" type="noConversion"/>
  </si>
  <si>
    <t>공통국어2</t>
  </si>
  <si>
    <t>문학</t>
  </si>
  <si>
    <t>독서와 작문</t>
  </si>
  <si>
    <t>화법과 언어</t>
  </si>
  <si>
    <t>공통수학1</t>
  </si>
  <si>
    <t>공통수학2</t>
  </si>
  <si>
    <t>대수</t>
  </si>
  <si>
    <t>공통영어1</t>
  </si>
  <si>
    <t>공통영어2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</si>
  <si>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</si>
  <si>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</si>
  <si>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</si>
  <si>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</si>
  <si>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</si>
  <si>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</si>
  <si>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</si>
  <si>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</si>
  <si>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</si>
  <si>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</si>
  <si>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</si>
  <si>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</si>
  <si>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</si>
  <si>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</si>
  <si>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스포츠 생활1</t>
  </si>
  <si>
    <t>스포츠 생활2</t>
  </si>
  <si>
    <t>음악</t>
  </si>
  <si>
    <t>정보</t>
  </si>
  <si>
    <t>공통</t>
  </si>
  <si>
    <t>일반</t>
  </si>
  <si>
    <t>진로</t>
  </si>
  <si>
    <t>융합</t>
  </si>
  <si>
    <t>학생선택</t>
    <phoneticPr fontId="7" type="noConversion"/>
  </si>
  <si>
    <t>고급 생명과학</t>
    <phoneticPr fontId="7" type="noConversion"/>
  </si>
  <si>
    <t>과학과제 연구</t>
    <phoneticPr fontId="7" type="noConversion"/>
  </si>
  <si>
    <t>사회문제 탐구</t>
    <phoneticPr fontId="7" type="noConversion"/>
  </si>
  <si>
    <t>기후변화와 지속가능한 세계</t>
    <phoneticPr fontId="7" type="noConversion"/>
  </si>
  <si>
    <t>융합과학 탐구</t>
    <phoneticPr fontId="7" type="noConversion"/>
  </si>
  <si>
    <t>인간과 심리</t>
    <phoneticPr fontId="7" type="noConversion"/>
  </si>
  <si>
    <t>인간과 경제 활동</t>
    <phoneticPr fontId="7" type="noConversion"/>
  </si>
  <si>
    <t>인간과 철학</t>
    <phoneticPr fontId="7" type="noConversion"/>
  </si>
  <si>
    <t>기술·가정
정보</t>
    <phoneticPr fontId="7" type="noConversion"/>
  </si>
  <si>
    <t>음악 연주와 창작</t>
    <phoneticPr fontId="7" type="noConversion"/>
  </si>
  <si>
    <t>음악 감상과 비평</t>
    <phoneticPr fontId="7" type="noConversion"/>
  </si>
  <si>
    <t>진로</t>
    <phoneticPr fontId="7" type="noConversion"/>
  </si>
  <si>
    <t>융합</t>
    <phoneticPr fontId="7" type="noConversion"/>
  </si>
  <si>
    <t>문학감상과 비평</t>
    <phoneticPr fontId="7" type="noConversion"/>
  </si>
  <si>
    <t>심화영어</t>
    <phoneticPr fontId="7" type="noConversion"/>
  </si>
  <si>
    <t>택2
8</t>
    <phoneticPr fontId="7" type="noConversion"/>
  </si>
  <si>
    <t>택3
9</t>
    <phoneticPr fontId="7" type="noConversion"/>
  </si>
  <si>
    <t>택4
12</t>
    <phoneticPr fontId="7" type="noConversion"/>
  </si>
  <si>
    <t>사회</t>
    <phoneticPr fontId="7" type="noConversion"/>
  </si>
  <si>
    <t>미적분Ⅰ</t>
    <phoneticPr fontId="7" type="noConversion"/>
  </si>
  <si>
    <t>확률과 통계</t>
    <phoneticPr fontId="7" type="noConversion"/>
  </si>
  <si>
    <t>경제수학</t>
    <phoneticPr fontId="7" type="noConversion"/>
  </si>
  <si>
    <t>직무 의사소통</t>
    <phoneticPr fontId="7" type="noConversion"/>
  </si>
  <si>
    <t>미디어 영어</t>
    <phoneticPr fontId="7" type="noConversion"/>
  </si>
  <si>
    <t>인공지능수학</t>
    <phoneticPr fontId="7" type="noConversion"/>
  </si>
  <si>
    <t>독서토론과 글쓰기</t>
    <phoneticPr fontId="7" type="noConversion"/>
  </si>
  <si>
    <t>택1
4</t>
    <phoneticPr fontId="7" type="noConversion"/>
  </si>
  <si>
    <t>수학</t>
    <phoneticPr fontId="7" type="noConversion"/>
  </si>
  <si>
    <t>영어</t>
    <phoneticPr fontId="7" type="noConversion"/>
  </si>
  <si>
    <t>직무 수학</t>
    <phoneticPr fontId="7" type="noConversion"/>
  </si>
  <si>
    <t>직무 영어</t>
    <phoneticPr fontId="7" type="noConversion"/>
  </si>
  <si>
    <t>택2
8</t>
    <phoneticPr fontId="7" type="noConversion"/>
  </si>
  <si>
    <t>영미문학읽기</t>
    <phoneticPr fontId="7" type="noConversion"/>
  </si>
  <si>
    <t>매체 의사소통</t>
    <phoneticPr fontId="7" type="noConversion"/>
  </si>
  <si>
    <t>실용 통계</t>
    <phoneticPr fontId="7" type="noConversion"/>
  </si>
  <si>
    <t>국어</t>
    <phoneticPr fontId="7" type="noConversion"/>
  </si>
  <si>
    <t>영어 독해와 작문</t>
    <phoneticPr fontId="7" type="noConversion"/>
  </si>
  <si>
    <t>수학과제 탐구</t>
    <phoneticPr fontId="7" type="noConversion"/>
  </si>
  <si>
    <t>수학과 문화</t>
    <phoneticPr fontId="7" type="noConversion"/>
  </si>
  <si>
    <t>택1
3</t>
    <phoneticPr fontId="7" type="noConversion"/>
  </si>
  <si>
    <t>택1
5</t>
    <phoneticPr fontId="7" type="noConversion"/>
  </si>
  <si>
    <t>한문·정보</t>
    <phoneticPr fontId="7" type="noConversion"/>
  </si>
  <si>
    <t>언어생활과 한자</t>
    <phoneticPr fontId="7" type="noConversion"/>
  </si>
  <si>
    <t>사회</t>
    <phoneticPr fontId="7" type="noConversion"/>
  </si>
  <si>
    <t>융합</t>
    <phoneticPr fontId="7" type="noConversion"/>
  </si>
  <si>
    <t>진로</t>
    <phoneticPr fontId="7" type="noConversion"/>
  </si>
  <si>
    <t>일반</t>
    <phoneticPr fontId="7" type="noConversion"/>
  </si>
  <si>
    <t>학생 선택 교과 이수 학점 소계</t>
    <phoneticPr fontId="7" type="noConversion"/>
  </si>
  <si>
    <t>기하</t>
    <phoneticPr fontId="12" type="noConversion"/>
  </si>
  <si>
    <t>공통국어1</t>
    <phoneticPr fontId="7" type="noConversion"/>
  </si>
  <si>
    <t>주제 탐구 독서</t>
    <phoneticPr fontId="7" type="noConversion"/>
  </si>
  <si>
    <t>문학과 영상</t>
    <phoneticPr fontId="7" type="noConversion"/>
  </si>
  <si>
    <t>세계문화와 영어</t>
    <phoneticPr fontId="7" type="noConversion"/>
  </si>
  <si>
    <t>융합</t>
    <phoneticPr fontId="7" type="noConversion"/>
  </si>
  <si>
    <t>2026학년도 입학생 3개년 교육과정 편성표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</si>
</sst>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20" x14ac:knownFonts="1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u/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122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6" fillId="4" borderId="2" xfId="0" applyNumberFormat="1" applyFont="1" applyFill="1" applyBorder="1" applyAlignment="1" applyProtection="1">
      <alignment horizontal="center" vertical="center"/>
    </xf>
    <xf numFmtId="177" fontId="6" fillId="4" borderId="2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 wrapText="1"/>
    </xf>
    <xf numFmtId="0" fontId="6" fillId="4" borderId="1" xfId="0" quotePrefix="1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/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Alignment="1">
      <alignment horizont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7" xfId="0" quotePrefix="1" applyNumberFormat="1" applyFont="1" applyFill="1" applyBorder="1" applyAlignment="1" applyProtection="1">
      <alignment horizontal="center" vertical="center"/>
    </xf>
    <xf numFmtId="0" fontId="10" fillId="0" borderId="11" xfId="0" applyNumberFormat="1" applyFont="1" applyFill="1" applyBorder="1" applyAlignment="1" applyProtection="1">
      <alignment horizontal="center" vertical="center" wrapText="1"/>
    </xf>
    <xf numFmtId="176" fontId="10" fillId="0" borderId="1" xfId="0" applyNumberFormat="1" applyFont="1" applyFill="1" applyBorder="1" applyAlignment="1" applyProtection="1">
      <alignment horizontal="center" vertical="center" wrapText="1"/>
    </xf>
    <xf numFmtId="0" fontId="11" fillId="5" borderId="25" xfId="2" applyFont="1" applyFill="1" applyBorder="1" applyAlignment="1" applyProtection="1">
      <alignment horizontal="left" vertical="center" shrinkToFit="1"/>
    </xf>
    <xf numFmtId="0" fontId="14" fillId="0" borderId="2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/>
    </xf>
    <xf numFmtId="0" fontId="15" fillId="0" borderId="1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16" fillId="0" borderId="25" xfId="2" applyFont="1" applyFill="1" applyBorder="1" applyAlignment="1" applyProtection="1">
      <alignment horizontal="center" vertical="center" shrinkToFit="1"/>
    </xf>
    <xf numFmtId="0" fontId="10" fillId="0" borderId="11" xfId="0" applyNumberFormat="1" applyFont="1" applyFill="1" applyBorder="1" applyAlignment="1" applyProtection="1">
      <alignment horizontal="center" vertical="center"/>
    </xf>
    <xf numFmtId="0" fontId="14" fillId="0" borderId="1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shrinkToFit="1"/>
    </xf>
    <xf numFmtId="0" fontId="19" fillId="0" borderId="1" xfId="0" applyNumberFormat="1" applyFont="1" applyFill="1" applyBorder="1" applyAlignment="1" applyProtection="1">
      <alignment horizontal="center" vertical="center" shrinkToFit="1"/>
    </xf>
    <xf numFmtId="0" fontId="17" fillId="0" borderId="7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4" borderId="7" xfId="0" applyNumberFormat="1" applyFont="1" applyFill="1" applyBorder="1" applyAlignment="1" applyProtection="1">
      <alignment horizontal="center" vertical="center" wrapText="1"/>
    </xf>
    <xf numFmtId="0" fontId="6" fillId="4" borderId="14" xfId="0" applyNumberFormat="1" applyFont="1" applyFill="1" applyBorder="1" applyAlignment="1" applyProtection="1">
      <alignment horizontal="center" vertical="center" wrapText="1"/>
    </xf>
    <xf numFmtId="0" fontId="6" fillId="4" borderId="11" xfId="0" applyNumberFormat="1" applyFont="1" applyFill="1" applyBorder="1" applyAlignment="1" applyProtection="1">
      <alignment horizontal="center" vertical="center" wrapText="1"/>
    </xf>
    <xf numFmtId="0" fontId="6" fillId="4" borderId="7" xfId="0" quotePrefix="1" applyNumberFormat="1" applyFont="1" applyFill="1" applyBorder="1" applyAlignment="1" applyProtection="1">
      <alignment horizontal="center" vertical="center" wrapText="1"/>
    </xf>
    <xf numFmtId="0" fontId="6" fillId="4" borderId="14" xfId="0" quotePrefix="1" applyNumberFormat="1" applyFont="1" applyFill="1" applyBorder="1" applyAlignment="1" applyProtection="1">
      <alignment horizontal="center" vertical="center" wrapText="1"/>
    </xf>
    <xf numFmtId="0" fontId="6" fillId="4" borderId="11" xfId="0" quotePrefix="1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9" fillId="0" borderId="1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17" fillId="0" borderId="7" xfId="0" applyNumberFormat="1" applyFont="1" applyFill="1" applyBorder="1" applyAlignment="1" applyProtection="1">
      <alignment horizontal="center" vertical="center" wrapText="1"/>
    </xf>
    <xf numFmtId="0" fontId="18" fillId="0" borderId="14" xfId="0" applyNumberFormat="1" applyFont="1" applyBorder="1" applyAlignment="1">
      <alignment horizontal="center" vertical="center" wrapText="1"/>
    </xf>
    <xf numFmtId="0" fontId="18" fillId="0" borderId="11" xfId="0" applyNumberFormat="1" applyFont="1" applyBorder="1" applyAlignment="1">
      <alignment horizontal="center" vertical="center" wrapText="1"/>
    </xf>
    <xf numFmtId="0" fontId="6" fillId="0" borderId="14" xfId="0" quotePrefix="1" applyNumberFormat="1" applyFont="1" applyFill="1" applyBorder="1" applyAlignment="1" applyProtection="1">
      <alignment horizontal="center" vertical="center" wrapText="1"/>
    </xf>
    <xf numFmtId="0" fontId="6" fillId="0" borderId="11" xfId="0" quotePrefix="1" applyNumberFormat="1" applyFont="1" applyFill="1" applyBorder="1" applyAlignment="1" applyProtection="1">
      <alignment horizontal="center" vertical="center" wrapText="1"/>
    </xf>
    <xf numFmtId="0" fontId="0" fillId="0" borderId="7" xfId="0" applyNumberFormat="1" applyFill="1" applyBorder="1" applyAlignment="1">
      <alignment horizontal="center" vertical="center" wrapText="1"/>
    </xf>
    <xf numFmtId="0" fontId="0" fillId="0" borderId="14" xfId="0" applyNumberFormat="1" applyFill="1" applyBorder="1" applyAlignment="1">
      <alignment horizontal="center" vertical="center" wrapText="1"/>
    </xf>
    <xf numFmtId="0" fontId="0" fillId="0" borderId="11" xfId="0" applyNumberFormat="1" applyFill="1" applyBorder="1" applyAlignment="1">
      <alignment horizontal="center" vertical="center" wrapText="1"/>
    </xf>
    <xf numFmtId="0" fontId="6" fillId="0" borderId="1" xfId="0" quotePrefix="1" applyNumberFormat="1" applyFont="1" applyFill="1" applyBorder="1" applyAlignment="1" applyProtection="1">
      <alignment horizontal="center" vertical="center" wrapText="1"/>
    </xf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3" fillId="0" borderId="24" xfId="0" applyNumberFormat="1" applyFont="1" applyFill="1" applyBorder="1" applyAlignment="1" applyProtection="1">
      <alignment horizontal="center" vertic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13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4" fillId="0" borderId="7" xfId="0" applyNumberFormat="1" applyFont="1" applyFill="1" applyBorder="1" applyAlignment="1" applyProtection="1">
      <alignment horizontal="center" vertical="center" wrapText="1"/>
    </xf>
    <xf numFmtId="0" fontId="14" fillId="0" borderId="11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19" xfId="0" applyNumberFormat="1" applyFont="1" applyFill="1" applyBorder="1" applyAlignment="1" applyProtection="1">
      <alignment horizontal="center" vertical="center"/>
    </xf>
    <xf numFmtId="0" fontId="5" fillId="0" borderId="20" xfId="0" applyNumberFormat="1" applyFont="1" applyFill="1" applyBorder="1" applyAlignment="1" applyProtection="1">
      <alignment horizontal="center" vertical="center"/>
    </xf>
    <xf numFmtId="0" fontId="5" fillId="0" borderId="21" xfId="0" applyNumberFormat="1" applyFont="1" applyFill="1" applyBorder="1" applyAlignment="1" applyProtection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17" fillId="0" borderId="14" xfId="0" applyNumberFormat="1" applyFont="1" applyFill="1" applyBorder="1" applyAlignment="1" applyProtection="1">
      <alignment horizontal="center" vertical="center" wrapText="1"/>
    </xf>
    <xf numFmtId="0" fontId="17" fillId="0" borderId="11" xfId="0" applyNumberFormat="1" applyFont="1" applyFill="1" applyBorder="1" applyAlignment="1" applyProtection="1">
      <alignment horizontal="center" vertical="center" wrapText="1"/>
    </xf>
    <xf numFmtId="0" fontId="13" fillId="0" borderId="7" xfId="0" applyNumberFormat="1" applyFont="1" applyFill="1" applyBorder="1" applyAlignment="1" applyProtection="1">
      <alignment horizontal="center" vertical="center" wrapText="1"/>
    </xf>
    <xf numFmtId="0" fontId="13" fillId="0" borderId="14" xfId="0" applyNumberFormat="1" applyFont="1" applyFill="1" applyBorder="1" applyAlignment="1" applyProtection="1">
      <alignment horizontal="center" vertical="center" wrapText="1"/>
    </xf>
    <xf numFmtId="0" fontId="14" fillId="0" borderId="7" xfId="0" applyNumberFormat="1" applyFont="1" applyFill="1" applyBorder="1" applyAlignment="1" applyProtection="1">
      <alignment horizontal="center" vertical="center"/>
    </xf>
    <xf numFmtId="0" fontId="14" fillId="0" borderId="14" xfId="0" applyNumberFormat="1" applyFont="1" applyFill="1" applyBorder="1" applyAlignment="1" applyProtection="1">
      <alignment horizontal="center" vertical="center"/>
    </xf>
    <xf numFmtId="0" fontId="14" fillId="0" borderId="11" xfId="0" applyNumberFormat="1" applyFont="1" applyFill="1" applyBorder="1" applyAlignment="1" applyProtection="1">
      <alignment horizontal="center" vertical="center"/>
    </xf>
    <xf numFmtId="0" fontId="9" fillId="0" borderId="9" xfId="0" applyNumberFormat="1" applyFont="1" applyFill="1" applyBorder="1" applyAlignment="1" applyProtection="1">
      <alignment horizontal="center" vertical="center"/>
    </xf>
    <xf numFmtId="0" fontId="9" fillId="0" borderId="17" xfId="0" applyNumberFormat="1" applyFont="1" applyFill="1" applyBorder="1" applyAlignment="1" applyProtection="1">
      <alignment horizontal="center" vertical="center"/>
    </xf>
    <xf numFmtId="0" fontId="9" fillId="0" borderId="18" xfId="0" applyNumberFormat="1" applyFont="1" applyFill="1" applyBorder="1" applyAlignment="1" applyProtection="1">
      <alignment horizontal="center" vertical="center"/>
    </xf>
    <xf numFmtId="0" fontId="6" fillId="4" borderId="14" xfId="0" quotePrefix="1" applyNumberFormat="1" applyFont="1" applyFill="1" applyBorder="1" applyAlignment="1" applyProtection="1">
      <alignment horizontal="center" vertical="center"/>
    </xf>
    <xf numFmtId="0" fontId="6" fillId="4" borderId="11" xfId="0" quotePrefix="1" applyNumberFormat="1" applyFont="1" applyFill="1" applyBorder="1" applyAlignment="1" applyProtection="1">
      <alignment horizontal="center" vertical="center"/>
    </xf>
    <xf numFmtId="0" fontId="6" fillId="4" borderId="14" xfId="0" applyNumberFormat="1" applyFont="1" applyFill="1" applyBorder="1" applyAlignment="1" applyProtection="1">
      <alignment horizontal="center" vertical="center"/>
    </xf>
    <xf numFmtId="0" fontId="6" fillId="4" borderId="1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</cellXfs>
  <cellStyles count="3">
    <cellStyle name="표준" xfId="0" builtinId="0"/>
    <cellStyle name="표준 2" xfId="2" xr:uid="{30E11C31-031F-4834-9C5B-C137AE8BFE17}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108"/>
  <sheetViews>
    <sheetView tabSelected="1" view="pageBreakPreview" zoomScale="85" zoomScaleNormal="115" zoomScaleSheetLayoutView="85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S25" sqref="S25"/>
    </sheetView>
  </sheetViews>
  <sheetFormatPr defaultColWidth="8.88671875" defaultRowHeight="13.5" x14ac:dyDescent="0.15"/>
  <cols>
    <col min="1" max="1" width="4.88671875" style="1" customWidth="1"/>
    <col min="2" max="2" width="3.5546875" style="1" customWidth="1"/>
    <col min="3" max="3" width="7.109375" style="1" customWidth="1"/>
    <col min="4" max="4" width="26" style="1" customWidth="1"/>
    <col min="5" max="5" width="8.21875" style="1" customWidth="1"/>
    <col min="6" max="8" width="4.77734375" style="1" customWidth="1"/>
    <col min="9" max="9" width="4.77734375" style="21" customWidth="1"/>
    <col min="10" max="10" width="4.77734375" style="1" customWidth="1"/>
    <col min="11" max="11" width="4.77734375" style="21" customWidth="1"/>
    <col min="12" max="12" width="4.77734375" style="1" customWidth="1"/>
    <col min="13" max="13" width="4.77734375" style="21" customWidth="1"/>
    <col min="14" max="14" width="5.77734375" style="1" customWidth="1"/>
    <col min="15" max="15" width="5.5546875" style="1" customWidth="1"/>
    <col min="16" max="16384" width="8.88671875" style="1"/>
  </cols>
  <sheetData>
    <row r="1" spans="2:15" ht="36" customHeight="1" x14ac:dyDescent="0.15">
      <c r="B1" s="73" t="s">
        <v>155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2:15" ht="13.5" customHeight="1" x14ac:dyDescent="0.15">
      <c r="B2" s="74" t="s">
        <v>3</v>
      </c>
      <c r="C2" s="77" t="s">
        <v>6</v>
      </c>
      <c r="D2" s="79" t="s">
        <v>8</v>
      </c>
      <c r="E2" s="79" t="s">
        <v>7</v>
      </c>
      <c r="F2" s="79" t="s">
        <v>12</v>
      </c>
      <c r="G2" s="79" t="s">
        <v>13</v>
      </c>
      <c r="H2" s="77" t="s">
        <v>1</v>
      </c>
      <c r="I2" s="77"/>
      <c r="J2" s="77" t="s">
        <v>5</v>
      </c>
      <c r="K2" s="77"/>
      <c r="L2" s="77" t="s">
        <v>4</v>
      </c>
      <c r="M2" s="77"/>
      <c r="N2" s="79" t="s">
        <v>9</v>
      </c>
      <c r="O2" s="81" t="s">
        <v>14</v>
      </c>
    </row>
    <row r="3" spans="2:15" ht="13.5" customHeight="1" x14ac:dyDescent="0.15">
      <c r="B3" s="75"/>
      <c r="C3" s="77"/>
      <c r="D3" s="79"/>
      <c r="E3" s="79"/>
      <c r="F3" s="79"/>
      <c r="G3" s="79"/>
      <c r="H3" s="77" t="s">
        <v>0</v>
      </c>
      <c r="I3" s="84" t="s">
        <v>2</v>
      </c>
      <c r="J3" s="77" t="s">
        <v>0</v>
      </c>
      <c r="K3" s="84" t="s">
        <v>2</v>
      </c>
      <c r="L3" s="77" t="s">
        <v>0</v>
      </c>
      <c r="M3" s="84" t="s">
        <v>2</v>
      </c>
      <c r="N3" s="77"/>
      <c r="O3" s="82"/>
    </row>
    <row r="4" spans="2:15" ht="14.25" customHeight="1" thickBot="1" x14ac:dyDescent="0.2">
      <c r="B4" s="76"/>
      <c r="C4" s="78"/>
      <c r="D4" s="80"/>
      <c r="E4" s="80"/>
      <c r="F4" s="80"/>
      <c r="G4" s="80"/>
      <c r="H4" s="78"/>
      <c r="I4" s="85"/>
      <c r="J4" s="78"/>
      <c r="K4" s="85"/>
      <c r="L4" s="78"/>
      <c r="M4" s="85"/>
      <c r="N4" s="78"/>
      <c r="O4" s="83"/>
    </row>
    <row r="5" spans="2:15" ht="16.899999999999999" customHeight="1" x14ac:dyDescent="0.15">
      <c r="B5" s="92" t="s">
        <v>64</v>
      </c>
      <c r="C5" s="94" t="s">
        <v>39</v>
      </c>
      <c r="D5" s="35" t="s">
        <v>150</v>
      </c>
      <c r="E5" s="35" t="s">
        <v>96</v>
      </c>
      <c r="F5" s="35">
        <v>4</v>
      </c>
      <c r="G5" s="35">
        <v>3</v>
      </c>
      <c r="H5" s="6">
        <v>3</v>
      </c>
      <c r="I5" s="13"/>
      <c r="J5" s="7"/>
      <c r="K5" s="13"/>
      <c r="L5" s="6"/>
      <c r="M5" s="13"/>
      <c r="N5" s="95">
        <f>SUM(H5:M9)</f>
        <v>18</v>
      </c>
      <c r="O5" s="96">
        <v>8</v>
      </c>
    </row>
    <row r="6" spans="2:15" ht="16.899999999999999" customHeight="1" x14ac:dyDescent="0.15">
      <c r="B6" s="93"/>
      <c r="C6" s="88"/>
      <c r="D6" s="36" t="s">
        <v>69</v>
      </c>
      <c r="E6" s="36" t="s">
        <v>96</v>
      </c>
      <c r="F6" s="36">
        <v>4</v>
      </c>
      <c r="G6" s="36">
        <v>3</v>
      </c>
      <c r="H6" s="8"/>
      <c r="I6" s="12">
        <v>3</v>
      </c>
      <c r="J6" s="8"/>
      <c r="K6" s="12"/>
      <c r="L6" s="8"/>
      <c r="M6" s="12"/>
      <c r="N6" s="90"/>
      <c r="O6" s="86"/>
    </row>
    <row r="7" spans="2:15" ht="16.899999999999999" customHeight="1" x14ac:dyDescent="0.15">
      <c r="B7" s="93"/>
      <c r="C7" s="88"/>
      <c r="D7" s="37" t="s">
        <v>70</v>
      </c>
      <c r="E7" s="36" t="s">
        <v>97</v>
      </c>
      <c r="F7" s="36">
        <v>4</v>
      </c>
      <c r="G7" s="36">
        <v>4</v>
      </c>
      <c r="H7" s="8"/>
      <c r="I7" s="12"/>
      <c r="J7" s="8">
        <v>4</v>
      </c>
      <c r="K7" s="12"/>
      <c r="L7" s="8"/>
      <c r="M7" s="12"/>
      <c r="N7" s="90"/>
      <c r="O7" s="86"/>
    </row>
    <row r="8" spans="2:15" ht="16.899999999999999" customHeight="1" x14ac:dyDescent="0.15">
      <c r="B8" s="93"/>
      <c r="C8" s="88"/>
      <c r="D8" s="37" t="s">
        <v>71</v>
      </c>
      <c r="E8" s="36" t="s">
        <v>97</v>
      </c>
      <c r="F8" s="36">
        <v>4</v>
      </c>
      <c r="G8" s="36">
        <v>4</v>
      </c>
      <c r="H8" s="8"/>
      <c r="I8" s="12"/>
      <c r="J8" s="8"/>
      <c r="K8" s="12">
        <v>4</v>
      </c>
      <c r="L8" s="8"/>
      <c r="M8" s="12"/>
      <c r="N8" s="90"/>
      <c r="O8" s="86"/>
    </row>
    <row r="9" spans="2:15" ht="16.899999999999999" customHeight="1" x14ac:dyDescent="0.15">
      <c r="B9" s="93"/>
      <c r="C9" s="88"/>
      <c r="D9" s="37" t="s">
        <v>72</v>
      </c>
      <c r="E9" s="36" t="s">
        <v>97</v>
      </c>
      <c r="F9" s="36">
        <v>4</v>
      </c>
      <c r="G9" s="36">
        <v>4</v>
      </c>
      <c r="H9" s="8"/>
      <c r="I9" s="12"/>
      <c r="J9" s="8"/>
      <c r="K9" s="12"/>
      <c r="L9" s="8">
        <v>4</v>
      </c>
      <c r="M9" s="12"/>
      <c r="N9" s="90"/>
      <c r="O9" s="86"/>
    </row>
    <row r="10" spans="2:15" ht="16.899999999999999" customHeight="1" x14ac:dyDescent="0.15">
      <c r="B10" s="93"/>
      <c r="C10" s="88" t="s">
        <v>40</v>
      </c>
      <c r="D10" s="36" t="s">
        <v>73</v>
      </c>
      <c r="E10" s="36" t="s">
        <v>96</v>
      </c>
      <c r="F10" s="36">
        <v>4</v>
      </c>
      <c r="G10" s="36">
        <v>4</v>
      </c>
      <c r="H10" s="8">
        <v>4</v>
      </c>
      <c r="I10" s="12"/>
      <c r="J10" s="8"/>
      <c r="K10" s="12"/>
      <c r="L10" s="8"/>
      <c r="M10" s="12"/>
      <c r="N10" s="89">
        <f>SUM(H10:M14)</f>
        <v>20</v>
      </c>
      <c r="O10" s="86">
        <v>8</v>
      </c>
    </row>
    <row r="11" spans="2:15" ht="16.899999999999999" customHeight="1" x14ac:dyDescent="0.15">
      <c r="B11" s="93"/>
      <c r="C11" s="88"/>
      <c r="D11" s="36" t="s">
        <v>74</v>
      </c>
      <c r="E11" s="36" t="s">
        <v>96</v>
      </c>
      <c r="F11" s="36">
        <v>4</v>
      </c>
      <c r="G11" s="36">
        <v>4</v>
      </c>
      <c r="H11" s="8">
        <v>4</v>
      </c>
      <c r="I11" s="12"/>
      <c r="J11" s="8"/>
      <c r="K11" s="12"/>
      <c r="L11" s="8"/>
      <c r="M11" s="12"/>
      <c r="N11" s="89"/>
      <c r="O11" s="86"/>
    </row>
    <row r="12" spans="2:15" ht="16.899999999999999" customHeight="1" x14ac:dyDescent="0.15">
      <c r="B12" s="93"/>
      <c r="C12" s="88"/>
      <c r="D12" s="37" t="s">
        <v>75</v>
      </c>
      <c r="E12" s="36" t="s">
        <v>97</v>
      </c>
      <c r="F12" s="36">
        <v>4</v>
      </c>
      <c r="G12" s="36">
        <v>4</v>
      </c>
      <c r="H12" s="8"/>
      <c r="I12" s="12">
        <v>4</v>
      </c>
      <c r="J12" s="8"/>
      <c r="K12" s="12"/>
      <c r="L12" s="8"/>
      <c r="M12" s="12"/>
      <c r="N12" s="89"/>
      <c r="O12" s="86"/>
    </row>
    <row r="13" spans="2:15" ht="16.899999999999999" customHeight="1" x14ac:dyDescent="0.15">
      <c r="B13" s="93"/>
      <c r="C13" s="88"/>
      <c r="D13" s="37" t="s">
        <v>121</v>
      </c>
      <c r="E13" s="36" t="s">
        <v>97</v>
      </c>
      <c r="F13" s="36">
        <v>4</v>
      </c>
      <c r="G13" s="36">
        <v>4</v>
      </c>
      <c r="H13" s="8"/>
      <c r="I13" s="12"/>
      <c r="J13" s="8">
        <v>4</v>
      </c>
      <c r="K13" s="12"/>
      <c r="L13" s="8"/>
      <c r="M13" s="12"/>
      <c r="N13" s="89"/>
      <c r="O13" s="86"/>
    </row>
    <row r="14" spans="2:15" ht="16.899999999999999" customHeight="1" x14ac:dyDescent="0.15">
      <c r="B14" s="93"/>
      <c r="C14" s="88"/>
      <c r="D14" s="37" t="s">
        <v>120</v>
      </c>
      <c r="E14" s="36" t="s">
        <v>97</v>
      </c>
      <c r="F14" s="36">
        <v>4</v>
      </c>
      <c r="G14" s="36">
        <v>4</v>
      </c>
      <c r="H14" s="8"/>
      <c r="I14" s="12"/>
      <c r="J14" s="8"/>
      <c r="K14" s="12">
        <v>4</v>
      </c>
      <c r="L14" s="8"/>
      <c r="M14" s="12"/>
      <c r="N14" s="90"/>
      <c r="O14" s="86"/>
    </row>
    <row r="15" spans="2:15" ht="16.899999999999999" customHeight="1" x14ac:dyDescent="0.15">
      <c r="B15" s="93"/>
      <c r="C15" s="87" t="s">
        <v>41</v>
      </c>
      <c r="D15" s="36" t="s">
        <v>76</v>
      </c>
      <c r="E15" s="36" t="s">
        <v>96</v>
      </c>
      <c r="F15" s="36">
        <v>4</v>
      </c>
      <c r="G15" s="36">
        <v>3</v>
      </c>
      <c r="H15" s="8">
        <v>3</v>
      </c>
      <c r="I15" s="12"/>
      <c r="J15" s="8"/>
      <c r="K15" s="12"/>
      <c r="L15" s="8"/>
      <c r="M15" s="12"/>
      <c r="N15" s="90">
        <f>SUM(H15:M19)</f>
        <v>18</v>
      </c>
      <c r="O15" s="86">
        <v>8</v>
      </c>
    </row>
    <row r="16" spans="2:15" ht="16.899999999999999" customHeight="1" x14ac:dyDescent="0.15">
      <c r="B16" s="93"/>
      <c r="C16" s="87"/>
      <c r="D16" s="36" t="s">
        <v>77</v>
      </c>
      <c r="E16" s="36" t="s">
        <v>96</v>
      </c>
      <c r="F16" s="36">
        <v>4</v>
      </c>
      <c r="G16" s="36">
        <v>3</v>
      </c>
      <c r="H16" s="8"/>
      <c r="I16" s="12">
        <v>3</v>
      </c>
      <c r="J16" s="8"/>
      <c r="K16" s="12"/>
      <c r="L16" s="8"/>
      <c r="M16" s="12"/>
      <c r="N16" s="90"/>
      <c r="O16" s="86"/>
    </row>
    <row r="17" spans="2:23" ht="16.899999999999999" customHeight="1" x14ac:dyDescent="0.15">
      <c r="B17" s="93"/>
      <c r="C17" s="87"/>
      <c r="D17" s="37" t="s">
        <v>78</v>
      </c>
      <c r="E17" s="36" t="s">
        <v>97</v>
      </c>
      <c r="F17" s="36">
        <v>4</v>
      </c>
      <c r="G17" s="36">
        <v>4</v>
      </c>
      <c r="H17" s="8"/>
      <c r="I17" s="12"/>
      <c r="J17" s="8">
        <v>4</v>
      </c>
      <c r="K17" s="12"/>
      <c r="L17" s="8"/>
      <c r="M17" s="12"/>
      <c r="N17" s="90"/>
      <c r="O17" s="86"/>
    </row>
    <row r="18" spans="2:23" ht="16.899999999999999" customHeight="1" x14ac:dyDescent="0.15">
      <c r="B18" s="93"/>
      <c r="C18" s="87"/>
      <c r="D18" s="37" t="s">
        <v>79</v>
      </c>
      <c r="E18" s="36" t="s">
        <v>97</v>
      </c>
      <c r="F18" s="36">
        <v>4</v>
      </c>
      <c r="G18" s="36">
        <v>4</v>
      </c>
      <c r="H18" s="8"/>
      <c r="I18" s="12"/>
      <c r="J18" s="9"/>
      <c r="K18" s="12">
        <v>4</v>
      </c>
      <c r="L18" s="8"/>
      <c r="M18" s="12"/>
      <c r="N18" s="90"/>
      <c r="O18" s="86"/>
    </row>
    <row r="19" spans="2:23" ht="16.899999999999999" customHeight="1" x14ac:dyDescent="0.15">
      <c r="B19" s="93"/>
      <c r="C19" s="87"/>
      <c r="D19" s="36" t="s">
        <v>115</v>
      </c>
      <c r="E19" s="36" t="s">
        <v>98</v>
      </c>
      <c r="F19" s="36">
        <v>4</v>
      </c>
      <c r="G19" s="36">
        <v>4</v>
      </c>
      <c r="H19" s="8"/>
      <c r="I19" s="12"/>
      <c r="J19" s="9"/>
      <c r="K19" s="12"/>
      <c r="L19" s="8">
        <v>4</v>
      </c>
      <c r="M19" s="12"/>
      <c r="N19" s="90"/>
      <c r="O19" s="86"/>
    </row>
    <row r="20" spans="2:23" ht="16.899999999999999" customHeight="1" x14ac:dyDescent="0.15">
      <c r="B20" s="93"/>
      <c r="C20" s="87" t="s">
        <v>65</v>
      </c>
      <c r="D20" s="37" t="s">
        <v>80</v>
      </c>
      <c r="E20" s="36" t="s">
        <v>96</v>
      </c>
      <c r="F20" s="36">
        <v>3</v>
      </c>
      <c r="G20" s="36">
        <v>3</v>
      </c>
      <c r="H20" s="8">
        <v>3</v>
      </c>
      <c r="I20" s="12"/>
      <c r="J20" s="8"/>
      <c r="K20" s="22"/>
      <c r="L20" s="8"/>
      <c r="M20" s="12"/>
      <c r="N20" s="90">
        <f>SUM(H20:M21)</f>
        <v>6</v>
      </c>
      <c r="O20" s="86">
        <v>6</v>
      </c>
      <c r="W20" s="28"/>
    </row>
    <row r="21" spans="2:23" ht="16.899999999999999" customHeight="1" x14ac:dyDescent="0.15">
      <c r="B21" s="93"/>
      <c r="C21" s="88"/>
      <c r="D21" s="37" t="s">
        <v>81</v>
      </c>
      <c r="E21" s="36" t="s">
        <v>96</v>
      </c>
      <c r="F21" s="36">
        <v>3</v>
      </c>
      <c r="G21" s="36">
        <v>3</v>
      </c>
      <c r="H21" s="8"/>
      <c r="I21" s="12">
        <v>3</v>
      </c>
      <c r="J21" s="8"/>
      <c r="K21" s="22"/>
      <c r="L21" s="8"/>
      <c r="M21" s="12"/>
      <c r="N21" s="90"/>
      <c r="O21" s="86"/>
    </row>
    <row r="22" spans="2:23" ht="16.899999999999999" customHeight="1" x14ac:dyDescent="0.15">
      <c r="B22" s="93"/>
      <c r="C22" s="88"/>
      <c r="D22" s="37" t="s">
        <v>82</v>
      </c>
      <c r="E22" s="36" t="s">
        <v>96</v>
      </c>
      <c r="F22" s="36">
        <v>4</v>
      </c>
      <c r="G22" s="36">
        <v>3</v>
      </c>
      <c r="H22" s="8">
        <v>3</v>
      </c>
      <c r="I22" s="12"/>
      <c r="J22" s="8"/>
      <c r="K22" s="12"/>
      <c r="L22" s="10"/>
      <c r="M22" s="22"/>
      <c r="N22" s="90">
        <f>SUM(H22:M23)</f>
        <v>6</v>
      </c>
      <c r="O22" s="86">
        <v>8</v>
      </c>
    </row>
    <row r="23" spans="2:23" ht="16.899999999999999" customHeight="1" x14ac:dyDescent="0.15">
      <c r="B23" s="93"/>
      <c r="C23" s="88"/>
      <c r="D23" s="37" t="s">
        <v>83</v>
      </c>
      <c r="E23" s="36" t="s">
        <v>96</v>
      </c>
      <c r="F23" s="36">
        <v>4</v>
      </c>
      <c r="G23" s="36">
        <v>3</v>
      </c>
      <c r="H23" s="8"/>
      <c r="I23" s="12">
        <v>3</v>
      </c>
      <c r="J23" s="8"/>
      <c r="K23" s="12"/>
      <c r="L23" s="10"/>
      <c r="M23" s="22"/>
      <c r="N23" s="90"/>
      <c r="O23" s="86"/>
    </row>
    <row r="24" spans="2:23" ht="16.899999999999999" customHeight="1" x14ac:dyDescent="0.15">
      <c r="B24" s="93"/>
      <c r="C24" s="88" t="s">
        <v>66</v>
      </c>
      <c r="D24" s="37" t="s">
        <v>84</v>
      </c>
      <c r="E24" s="36" t="s">
        <v>96</v>
      </c>
      <c r="F24" s="36">
        <v>4</v>
      </c>
      <c r="G24" s="36">
        <v>3</v>
      </c>
      <c r="H24" s="8">
        <v>3</v>
      </c>
      <c r="I24" s="12"/>
      <c r="J24" s="8"/>
      <c r="K24" s="12"/>
      <c r="L24" s="10"/>
      <c r="M24" s="22"/>
      <c r="N24" s="89">
        <f>SUM(H24:M27)</f>
        <v>8</v>
      </c>
      <c r="O24" s="86">
        <v>10</v>
      </c>
    </row>
    <row r="25" spans="2:23" ht="16.899999999999999" customHeight="1" x14ac:dyDescent="0.15">
      <c r="B25" s="93"/>
      <c r="C25" s="88"/>
      <c r="D25" s="37" t="s">
        <v>85</v>
      </c>
      <c r="E25" s="36" t="s">
        <v>96</v>
      </c>
      <c r="F25" s="36">
        <v>4</v>
      </c>
      <c r="G25" s="36">
        <v>3</v>
      </c>
      <c r="H25" s="8"/>
      <c r="I25" s="12">
        <v>3</v>
      </c>
      <c r="J25" s="8"/>
      <c r="K25" s="12"/>
      <c r="L25" s="10"/>
      <c r="M25" s="22"/>
      <c r="N25" s="89"/>
      <c r="O25" s="86"/>
    </row>
    <row r="26" spans="2:23" ht="16.899999999999999" customHeight="1" x14ac:dyDescent="0.15">
      <c r="B26" s="93"/>
      <c r="C26" s="88"/>
      <c r="D26" s="36" t="s">
        <v>86</v>
      </c>
      <c r="E26" s="36" t="s">
        <v>96</v>
      </c>
      <c r="F26" s="36">
        <v>1</v>
      </c>
      <c r="G26" s="36">
        <v>1</v>
      </c>
      <c r="H26" s="8">
        <v>1</v>
      </c>
      <c r="I26" s="12"/>
      <c r="J26" s="8"/>
      <c r="K26" s="12"/>
      <c r="L26" s="10"/>
      <c r="M26" s="22"/>
      <c r="N26" s="89"/>
      <c r="O26" s="86"/>
    </row>
    <row r="27" spans="2:23" ht="16.899999999999999" customHeight="1" x14ac:dyDescent="0.15">
      <c r="B27" s="93"/>
      <c r="C27" s="88"/>
      <c r="D27" s="36" t="s">
        <v>87</v>
      </c>
      <c r="E27" s="36" t="s">
        <v>96</v>
      </c>
      <c r="F27" s="36">
        <v>1</v>
      </c>
      <c r="G27" s="36">
        <v>1</v>
      </c>
      <c r="H27" s="8"/>
      <c r="I27" s="12">
        <v>1</v>
      </c>
      <c r="J27" s="8"/>
      <c r="K27" s="12"/>
      <c r="L27" s="8"/>
      <c r="M27" s="12"/>
      <c r="N27" s="90"/>
      <c r="O27" s="86"/>
    </row>
    <row r="28" spans="2:23" ht="16.899999999999999" customHeight="1" x14ac:dyDescent="0.15">
      <c r="B28" s="93"/>
      <c r="C28" s="87" t="s">
        <v>67</v>
      </c>
      <c r="D28" s="36" t="s">
        <v>88</v>
      </c>
      <c r="E28" s="36" t="s">
        <v>97</v>
      </c>
      <c r="F28" s="36">
        <v>3</v>
      </c>
      <c r="G28" s="36">
        <v>2</v>
      </c>
      <c r="H28" s="8">
        <v>2</v>
      </c>
      <c r="I28" s="12"/>
      <c r="J28" s="8"/>
      <c r="K28" s="12"/>
      <c r="L28" s="8"/>
      <c r="M28" s="12"/>
      <c r="N28" s="90">
        <f>SUM(H28:M33)</f>
        <v>10</v>
      </c>
      <c r="O28" s="86">
        <v>10</v>
      </c>
    </row>
    <row r="29" spans="2:23" ht="16.899999999999999" customHeight="1" x14ac:dyDescent="0.15">
      <c r="B29" s="93"/>
      <c r="C29" s="87"/>
      <c r="D29" s="36" t="s">
        <v>91</v>
      </c>
      <c r="E29" s="36" t="s">
        <v>98</v>
      </c>
      <c r="F29" s="36">
        <v>2</v>
      </c>
      <c r="G29" s="36">
        <v>1</v>
      </c>
      <c r="H29" s="18"/>
      <c r="I29" s="16">
        <v>1</v>
      </c>
      <c r="J29" s="18"/>
      <c r="K29" s="16"/>
      <c r="L29" s="18"/>
      <c r="M29" s="16"/>
      <c r="N29" s="90"/>
      <c r="O29" s="86"/>
    </row>
    <row r="30" spans="2:23" ht="16.899999999999999" customHeight="1" x14ac:dyDescent="0.15">
      <c r="B30" s="93"/>
      <c r="C30" s="87"/>
      <c r="D30" s="36" t="s">
        <v>89</v>
      </c>
      <c r="E30" s="36" t="s">
        <v>97</v>
      </c>
      <c r="F30" s="36">
        <v>3</v>
      </c>
      <c r="G30" s="36">
        <v>2</v>
      </c>
      <c r="H30" s="8"/>
      <c r="I30" s="12"/>
      <c r="J30" s="8">
        <v>2</v>
      </c>
      <c r="K30" s="12"/>
      <c r="L30" s="8"/>
      <c r="M30" s="12"/>
      <c r="N30" s="90"/>
      <c r="O30" s="86"/>
    </row>
    <row r="31" spans="2:23" ht="16.899999999999999" customHeight="1" x14ac:dyDescent="0.15">
      <c r="B31" s="93"/>
      <c r="C31" s="87"/>
      <c r="D31" s="36" t="s">
        <v>90</v>
      </c>
      <c r="E31" s="36" t="s">
        <v>98</v>
      </c>
      <c r="F31" s="36">
        <v>2</v>
      </c>
      <c r="G31" s="36">
        <v>1</v>
      </c>
      <c r="H31" s="8"/>
      <c r="I31" s="12"/>
      <c r="J31" s="8"/>
      <c r="K31" s="12"/>
      <c r="L31" s="8"/>
      <c r="M31" s="12">
        <v>1</v>
      </c>
      <c r="N31" s="90"/>
      <c r="O31" s="86"/>
    </row>
    <row r="32" spans="2:23" ht="16.899999999999999" customHeight="1" x14ac:dyDescent="0.15">
      <c r="B32" s="93"/>
      <c r="C32" s="87"/>
      <c r="D32" s="36" t="s">
        <v>92</v>
      </c>
      <c r="E32" s="36" t="s">
        <v>99</v>
      </c>
      <c r="F32" s="36">
        <v>3</v>
      </c>
      <c r="G32" s="36">
        <v>2</v>
      </c>
      <c r="H32" s="8"/>
      <c r="I32" s="12"/>
      <c r="J32" s="8"/>
      <c r="K32" s="12">
        <v>2</v>
      </c>
      <c r="L32" s="8"/>
      <c r="M32" s="12"/>
      <c r="N32" s="90"/>
      <c r="O32" s="86"/>
      <c r="P32" s="34"/>
    </row>
    <row r="33" spans="2:15" ht="16.899999999999999" customHeight="1" x14ac:dyDescent="0.15">
      <c r="B33" s="93"/>
      <c r="C33" s="87"/>
      <c r="D33" s="36" t="s">
        <v>93</v>
      </c>
      <c r="E33" s="36" t="s">
        <v>99</v>
      </c>
      <c r="F33" s="36">
        <v>3</v>
      </c>
      <c r="G33" s="36">
        <v>2</v>
      </c>
      <c r="H33" s="8"/>
      <c r="I33" s="12"/>
      <c r="J33" s="8"/>
      <c r="K33" s="12"/>
      <c r="L33" s="8">
        <v>2</v>
      </c>
      <c r="M33" s="12"/>
      <c r="N33" s="90"/>
      <c r="O33" s="86"/>
    </row>
    <row r="34" spans="2:15" ht="16.899999999999999" customHeight="1" x14ac:dyDescent="0.15">
      <c r="B34" s="93"/>
      <c r="C34" s="87" t="s">
        <v>68</v>
      </c>
      <c r="D34" s="36" t="s">
        <v>94</v>
      </c>
      <c r="E34" s="36" t="s">
        <v>97</v>
      </c>
      <c r="F34" s="36">
        <v>3</v>
      </c>
      <c r="G34" s="36">
        <v>2</v>
      </c>
      <c r="H34" s="8">
        <v>2</v>
      </c>
      <c r="I34" s="20"/>
      <c r="J34" s="8"/>
      <c r="K34" s="12"/>
      <c r="L34" s="8"/>
      <c r="M34" s="12"/>
      <c r="N34" s="89">
        <f>SUM(H34:M38)</f>
        <v>10</v>
      </c>
      <c r="O34" s="91">
        <v>10</v>
      </c>
    </row>
    <row r="35" spans="2:15" ht="16.899999999999999" customHeight="1" x14ac:dyDescent="0.15">
      <c r="B35" s="93"/>
      <c r="C35" s="87"/>
      <c r="D35" s="36" t="s">
        <v>110</v>
      </c>
      <c r="E35" s="36" t="s">
        <v>112</v>
      </c>
      <c r="F35" s="36">
        <v>3</v>
      </c>
      <c r="G35" s="36">
        <v>2</v>
      </c>
      <c r="H35" s="8"/>
      <c r="I35" s="12">
        <v>2</v>
      </c>
      <c r="J35" s="8"/>
      <c r="K35" s="12"/>
      <c r="L35" s="8"/>
      <c r="M35" s="12"/>
      <c r="N35" s="89"/>
      <c r="O35" s="91"/>
    </row>
    <row r="36" spans="2:15" ht="16.899999999999999" customHeight="1" x14ac:dyDescent="0.15">
      <c r="B36" s="93"/>
      <c r="C36" s="87"/>
      <c r="D36" s="36" t="s">
        <v>111</v>
      </c>
      <c r="E36" s="36" t="s">
        <v>112</v>
      </c>
      <c r="F36" s="36">
        <v>3</v>
      </c>
      <c r="G36" s="36">
        <v>2</v>
      </c>
      <c r="H36" s="8"/>
      <c r="I36" s="20"/>
      <c r="J36" s="8">
        <v>2</v>
      </c>
      <c r="K36" s="12"/>
      <c r="L36" s="8"/>
      <c r="M36" s="12"/>
      <c r="N36" s="89"/>
      <c r="O36" s="91"/>
    </row>
    <row r="37" spans="2:15" ht="16.899999999999999" customHeight="1" x14ac:dyDescent="0.15">
      <c r="B37" s="93"/>
      <c r="C37" s="87"/>
      <c r="D37" s="36" t="s">
        <v>54</v>
      </c>
      <c r="E37" s="36" t="s">
        <v>113</v>
      </c>
      <c r="F37" s="36">
        <v>3</v>
      </c>
      <c r="G37" s="36">
        <v>2</v>
      </c>
      <c r="H37" s="8"/>
      <c r="I37" s="20"/>
      <c r="J37" s="8"/>
      <c r="K37" s="12">
        <v>2</v>
      </c>
      <c r="L37" s="8"/>
      <c r="M37" s="12"/>
      <c r="N37" s="89"/>
      <c r="O37" s="91"/>
    </row>
    <row r="38" spans="2:15" ht="16.899999999999999" customHeight="1" x14ac:dyDescent="0.15">
      <c r="B38" s="93"/>
      <c r="C38" s="87"/>
      <c r="D38" s="36" t="s">
        <v>114</v>
      </c>
      <c r="E38" s="36" t="s">
        <v>20</v>
      </c>
      <c r="F38" s="36">
        <v>3</v>
      </c>
      <c r="G38" s="36">
        <v>2</v>
      </c>
      <c r="H38" s="8"/>
      <c r="I38" s="20"/>
      <c r="J38" s="8"/>
      <c r="K38" s="12"/>
      <c r="L38" s="8"/>
      <c r="M38" s="12">
        <v>2</v>
      </c>
      <c r="N38" s="89"/>
      <c r="O38" s="91"/>
    </row>
    <row r="39" spans="2:15" ht="16.899999999999999" customHeight="1" x14ac:dyDescent="0.15">
      <c r="B39" s="93"/>
      <c r="C39" s="97" t="s">
        <v>142</v>
      </c>
      <c r="D39" s="38" t="s">
        <v>143</v>
      </c>
      <c r="E39" s="36" t="s">
        <v>145</v>
      </c>
      <c r="F39" s="36">
        <v>4</v>
      </c>
      <c r="G39" s="36">
        <v>3</v>
      </c>
      <c r="H39" s="18">
        <v>3</v>
      </c>
      <c r="I39" s="16"/>
      <c r="J39" s="18"/>
      <c r="K39" s="16"/>
      <c r="L39" s="18"/>
      <c r="M39" s="16"/>
      <c r="N39" s="15">
        <f>SUM(H39:M39)</f>
        <v>3</v>
      </c>
      <c r="O39" s="17"/>
    </row>
    <row r="40" spans="2:15" ht="16.899999999999999" customHeight="1" x14ac:dyDescent="0.15">
      <c r="B40" s="93"/>
      <c r="C40" s="98"/>
      <c r="D40" s="38" t="s">
        <v>95</v>
      </c>
      <c r="E40" s="36" t="s">
        <v>97</v>
      </c>
      <c r="F40" s="36">
        <v>4</v>
      </c>
      <c r="G40" s="36">
        <v>3</v>
      </c>
      <c r="H40" s="8"/>
      <c r="I40" s="12">
        <v>3</v>
      </c>
      <c r="J40" s="8"/>
      <c r="K40" s="12"/>
      <c r="L40" s="8"/>
      <c r="M40" s="12"/>
      <c r="N40" s="15">
        <f>SUM(H40:M40)</f>
        <v>3</v>
      </c>
      <c r="O40" s="17"/>
    </row>
    <row r="41" spans="2:15" ht="16.899999999999999" customHeight="1" x14ac:dyDescent="0.15">
      <c r="B41" s="19"/>
      <c r="C41" s="87" t="s">
        <v>11</v>
      </c>
      <c r="D41" s="87"/>
      <c r="E41" s="87"/>
      <c r="F41" s="87"/>
      <c r="G41" s="87"/>
      <c r="H41" s="12">
        <f>SUM(H5:H40)</f>
        <v>31</v>
      </c>
      <c r="I41" s="23">
        <f t="shared" ref="I41:M41" si="0">SUM(I5:I40)</f>
        <v>26</v>
      </c>
      <c r="J41" s="23">
        <f t="shared" si="0"/>
        <v>16</v>
      </c>
      <c r="K41" s="23">
        <f t="shared" si="0"/>
        <v>16</v>
      </c>
      <c r="L41" s="23">
        <f t="shared" si="0"/>
        <v>10</v>
      </c>
      <c r="M41" s="23">
        <f t="shared" si="0"/>
        <v>3</v>
      </c>
      <c r="N41" s="12">
        <f>SUM(N5:N40)</f>
        <v>102</v>
      </c>
      <c r="O41" s="14">
        <f>SUM(O5:O40)</f>
        <v>68</v>
      </c>
    </row>
    <row r="42" spans="2:15" ht="16.899999999999999" customHeight="1" x14ac:dyDescent="0.15">
      <c r="B42" s="104" t="s">
        <v>100</v>
      </c>
      <c r="C42" s="87" t="s">
        <v>39</v>
      </c>
      <c r="D42" s="36" t="s">
        <v>126</v>
      </c>
      <c r="E42" s="36" t="s">
        <v>20</v>
      </c>
      <c r="F42" s="36">
        <v>4</v>
      </c>
      <c r="G42" s="38">
        <v>3</v>
      </c>
      <c r="H42" s="8"/>
      <c r="I42" s="89" t="s">
        <v>127</v>
      </c>
      <c r="J42" s="8"/>
      <c r="K42" s="12"/>
      <c r="L42" s="8"/>
      <c r="M42" s="12"/>
      <c r="N42" s="90">
        <v>4</v>
      </c>
      <c r="O42" s="114"/>
    </row>
    <row r="43" spans="2:15" ht="16.899999999999999" customHeight="1" x14ac:dyDescent="0.15">
      <c r="B43" s="105"/>
      <c r="C43" s="87"/>
      <c r="D43" s="36" t="s">
        <v>151</v>
      </c>
      <c r="E43" s="36" t="s">
        <v>19</v>
      </c>
      <c r="F43" s="36">
        <v>4</v>
      </c>
      <c r="G43" s="38">
        <v>3</v>
      </c>
      <c r="H43" s="8"/>
      <c r="I43" s="90"/>
      <c r="J43" s="8"/>
      <c r="K43" s="12"/>
      <c r="L43" s="10"/>
      <c r="M43" s="22"/>
      <c r="N43" s="90"/>
      <c r="O43" s="115"/>
    </row>
    <row r="44" spans="2:15" ht="16.899999999999999" customHeight="1" x14ac:dyDescent="0.15">
      <c r="B44" s="105"/>
      <c r="C44" s="109" t="s">
        <v>41</v>
      </c>
      <c r="D44" s="36" t="s">
        <v>133</v>
      </c>
      <c r="E44" s="36" t="s">
        <v>19</v>
      </c>
      <c r="F44" s="36">
        <v>4</v>
      </c>
      <c r="G44" s="38">
        <v>3</v>
      </c>
      <c r="H44" s="8"/>
      <c r="I44" s="90"/>
      <c r="J44" s="8"/>
      <c r="K44" s="12"/>
      <c r="L44" s="10"/>
      <c r="M44" s="22"/>
      <c r="N44" s="90"/>
      <c r="O44" s="115"/>
    </row>
    <row r="45" spans="2:15" ht="16.899999999999999" customHeight="1" x14ac:dyDescent="0.15">
      <c r="B45" s="105"/>
      <c r="C45" s="110"/>
      <c r="D45" s="36" t="s">
        <v>42</v>
      </c>
      <c r="E45" s="36" t="s">
        <v>19</v>
      </c>
      <c r="F45" s="36">
        <v>4</v>
      </c>
      <c r="G45" s="38">
        <v>3</v>
      </c>
      <c r="H45" s="8"/>
      <c r="I45" s="90"/>
      <c r="J45" s="8"/>
      <c r="K45" s="12"/>
      <c r="L45" s="8"/>
      <c r="M45" s="22"/>
      <c r="N45" s="90"/>
      <c r="O45" s="115"/>
    </row>
    <row r="46" spans="2:15" ht="16.899999999999999" customHeight="1" x14ac:dyDescent="0.15">
      <c r="B46" s="105"/>
      <c r="C46" s="111" t="s">
        <v>40</v>
      </c>
      <c r="D46" s="39" t="s">
        <v>149</v>
      </c>
      <c r="E46" s="36" t="s">
        <v>19</v>
      </c>
      <c r="F46" s="36">
        <v>4</v>
      </c>
      <c r="G46" s="38">
        <v>5</v>
      </c>
      <c r="H46" s="8"/>
      <c r="I46" s="12"/>
      <c r="J46" s="8"/>
      <c r="K46" s="89" t="s">
        <v>141</v>
      </c>
      <c r="L46" s="8"/>
      <c r="M46" s="12"/>
      <c r="N46" s="90">
        <v>5</v>
      </c>
      <c r="O46" s="115"/>
    </row>
    <row r="47" spans="2:15" ht="16.899999999999999" customHeight="1" x14ac:dyDescent="0.15">
      <c r="B47" s="105"/>
      <c r="C47" s="112"/>
      <c r="D47" s="36" t="s">
        <v>135</v>
      </c>
      <c r="E47" s="36" t="s">
        <v>20</v>
      </c>
      <c r="F47" s="36">
        <v>4</v>
      </c>
      <c r="G47" s="38">
        <v>5</v>
      </c>
      <c r="H47" s="8"/>
      <c r="I47" s="12"/>
      <c r="J47" s="8"/>
      <c r="K47" s="90"/>
      <c r="L47" s="8"/>
      <c r="M47" s="12"/>
      <c r="N47" s="90"/>
      <c r="O47" s="115"/>
    </row>
    <row r="48" spans="2:15" ht="16.899999999999999" customHeight="1" x14ac:dyDescent="0.15">
      <c r="B48" s="105"/>
      <c r="C48" s="113"/>
      <c r="D48" s="36" t="s">
        <v>138</v>
      </c>
      <c r="E48" s="36" t="s">
        <v>145</v>
      </c>
      <c r="F48" s="36">
        <v>4</v>
      </c>
      <c r="G48" s="38">
        <v>5</v>
      </c>
      <c r="H48" s="8"/>
      <c r="I48" s="12"/>
      <c r="J48" s="8"/>
      <c r="K48" s="90"/>
      <c r="L48" s="8"/>
      <c r="M48" s="12"/>
      <c r="N48" s="90"/>
      <c r="O48" s="115"/>
    </row>
    <row r="49" spans="2:15" ht="16.899999999999999" customHeight="1" x14ac:dyDescent="0.15">
      <c r="B49" s="105"/>
      <c r="C49" s="36" t="s">
        <v>136</v>
      </c>
      <c r="D49" s="36" t="s">
        <v>152</v>
      </c>
      <c r="E49" s="36" t="s">
        <v>146</v>
      </c>
      <c r="F49" s="36">
        <v>4</v>
      </c>
      <c r="G49" s="38">
        <v>4</v>
      </c>
      <c r="H49" s="8"/>
      <c r="I49" s="12"/>
      <c r="J49" s="8"/>
      <c r="K49" s="12"/>
      <c r="L49" s="50" t="s">
        <v>132</v>
      </c>
      <c r="M49" s="12"/>
      <c r="N49" s="47">
        <v>8</v>
      </c>
      <c r="O49" s="115"/>
    </row>
    <row r="50" spans="2:15" ht="16.899999999999999" customHeight="1" x14ac:dyDescent="0.15">
      <c r="B50" s="105"/>
      <c r="C50" s="111" t="s">
        <v>128</v>
      </c>
      <c r="D50" s="36" t="s">
        <v>43</v>
      </c>
      <c r="E50" s="36" t="s">
        <v>146</v>
      </c>
      <c r="F50" s="36">
        <v>4</v>
      </c>
      <c r="G50" s="38">
        <v>4</v>
      </c>
      <c r="H50" s="8"/>
      <c r="I50" s="12"/>
      <c r="J50" s="8"/>
      <c r="K50" s="12"/>
      <c r="L50" s="51"/>
      <c r="M50" s="12"/>
      <c r="N50" s="48"/>
      <c r="O50" s="115"/>
    </row>
    <row r="51" spans="2:15" ht="16.899999999999999" customHeight="1" x14ac:dyDescent="0.15">
      <c r="B51" s="105"/>
      <c r="C51" s="112"/>
      <c r="D51" s="36" t="s">
        <v>122</v>
      </c>
      <c r="E51" s="36" t="s">
        <v>146</v>
      </c>
      <c r="F51" s="36">
        <v>4</v>
      </c>
      <c r="G51" s="38">
        <v>4</v>
      </c>
      <c r="H51" s="8"/>
      <c r="I51" s="12"/>
      <c r="J51" s="8"/>
      <c r="K51" s="12"/>
      <c r="L51" s="51"/>
      <c r="M51" s="12"/>
      <c r="N51" s="48"/>
      <c r="O51" s="115"/>
    </row>
    <row r="52" spans="2:15" ht="16.899999999999999" customHeight="1" x14ac:dyDescent="0.15">
      <c r="B52" s="105"/>
      <c r="C52" s="113"/>
      <c r="D52" s="36" t="s">
        <v>125</v>
      </c>
      <c r="E52" s="36" t="s">
        <v>19</v>
      </c>
      <c r="F52" s="36">
        <v>4</v>
      </c>
      <c r="G52" s="38">
        <v>4</v>
      </c>
      <c r="H52" s="8"/>
      <c r="I52" s="12"/>
      <c r="J52" s="8"/>
      <c r="K52" s="12"/>
      <c r="L52" s="51"/>
      <c r="M52" s="12"/>
      <c r="N52" s="48"/>
      <c r="O52" s="115"/>
    </row>
    <row r="53" spans="2:15" ht="16.899999999999999" customHeight="1" x14ac:dyDescent="0.15">
      <c r="B53" s="105"/>
      <c r="C53" s="111" t="s">
        <v>129</v>
      </c>
      <c r="D53" s="36" t="s">
        <v>137</v>
      </c>
      <c r="E53" s="36" t="s">
        <v>147</v>
      </c>
      <c r="F53" s="36">
        <v>4</v>
      </c>
      <c r="G53" s="38">
        <v>4</v>
      </c>
      <c r="H53" s="8"/>
      <c r="I53" s="12"/>
      <c r="J53" s="8"/>
      <c r="K53" s="12"/>
      <c r="L53" s="51"/>
      <c r="M53" s="12"/>
      <c r="N53" s="48"/>
      <c r="O53" s="115"/>
    </row>
    <row r="54" spans="2:15" ht="16.899999999999999" customHeight="1" x14ac:dyDescent="0.15">
      <c r="B54" s="105"/>
      <c r="C54" s="113"/>
      <c r="D54" s="36" t="s">
        <v>153</v>
      </c>
      <c r="E54" s="36" t="s">
        <v>154</v>
      </c>
      <c r="F54" s="36">
        <v>4</v>
      </c>
      <c r="G54" s="38">
        <v>4</v>
      </c>
      <c r="H54" s="30"/>
      <c r="I54" s="29"/>
      <c r="J54" s="30"/>
      <c r="K54" s="29"/>
      <c r="L54" s="52"/>
      <c r="M54" s="29"/>
      <c r="N54" s="49"/>
      <c r="O54" s="115"/>
    </row>
    <row r="55" spans="2:15" ht="16.899999999999999" customHeight="1" x14ac:dyDescent="0.15">
      <c r="B55" s="105"/>
      <c r="C55" s="111" t="s">
        <v>39</v>
      </c>
      <c r="D55" s="36" t="s">
        <v>123</v>
      </c>
      <c r="E55" s="36" t="s">
        <v>19</v>
      </c>
      <c r="F55" s="36">
        <v>4</v>
      </c>
      <c r="G55" s="38">
        <v>4</v>
      </c>
      <c r="H55" s="8"/>
      <c r="I55" s="12"/>
      <c r="J55" s="8"/>
      <c r="K55" s="12"/>
      <c r="L55" s="8"/>
      <c r="M55" s="89" t="s">
        <v>132</v>
      </c>
      <c r="N55" s="90">
        <v>8</v>
      </c>
      <c r="O55" s="115"/>
    </row>
    <row r="56" spans="2:15" ht="16.899999999999999" customHeight="1" x14ac:dyDescent="0.15">
      <c r="B56" s="105"/>
      <c r="C56" s="113"/>
      <c r="D56" s="36" t="s">
        <v>134</v>
      </c>
      <c r="E56" s="36" t="s">
        <v>145</v>
      </c>
      <c r="F56" s="36">
        <v>4</v>
      </c>
      <c r="G56" s="38">
        <v>4</v>
      </c>
      <c r="H56" s="8"/>
      <c r="I56" s="12"/>
      <c r="J56" s="8"/>
      <c r="K56" s="12"/>
      <c r="L56" s="8"/>
      <c r="M56" s="89"/>
      <c r="N56" s="90"/>
      <c r="O56" s="115"/>
    </row>
    <row r="57" spans="2:15" ht="16.899999999999999" customHeight="1" x14ac:dyDescent="0.15">
      <c r="B57" s="105"/>
      <c r="C57" s="111" t="s">
        <v>128</v>
      </c>
      <c r="D57" s="36" t="s">
        <v>139</v>
      </c>
      <c r="E57" s="36" t="s">
        <v>145</v>
      </c>
      <c r="F57" s="36">
        <v>4</v>
      </c>
      <c r="G57" s="38">
        <v>4</v>
      </c>
      <c r="H57" s="8"/>
      <c r="I57" s="12"/>
      <c r="J57" s="8"/>
      <c r="K57" s="12"/>
      <c r="L57" s="8"/>
      <c r="M57" s="89"/>
      <c r="N57" s="90"/>
      <c r="O57" s="115"/>
    </row>
    <row r="58" spans="2:15" ht="16.899999999999999" customHeight="1" x14ac:dyDescent="0.15">
      <c r="B58" s="105"/>
      <c r="C58" s="113"/>
      <c r="D58" s="36" t="s">
        <v>130</v>
      </c>
      <c r="E58" s="36" t="s">
        <v>19</v>
      </c>
      <c r="F58" s="36">
        <v>4</v>
      </c>
      <c r="G58" s="38">
        <v>4</v>
      </c>
      <c r="H58" s="8"/>
      <c r="I58" s="12"/>
      <c r="J58" s="8"/>
      <c r="K58" s="12"/>
      <c r="L58" s="10"/>
      <c r="M58" s="90"/>
      <c r="N58" s="90"/>
      <c r="O58" s="115"/>
    </row>
    <row r="59" spans="2:15" ht="16.899999999999999" customHeight="1" x14ac:dyDescent="0.15">
      <c r="B59" s="105"/>
      <c r="C59" s="111" t="s">
        <v>129</v>
      </c>
      <c r="D59" s="36" t="s">
        <v>124</v>
      </c>
      <c r="E59" s="36" t="s">
        <v>145</v>
      </c>
      <c r="F59" s="36">
        <v>4</v>
      </c>
      <c r="G59" s="38">
        <v>4</v>
      </c>
      <c r="H59" s="8"/>
      <c r="I59" s="12"/>
      <c r="J59" s="8"/>
      <c r="K59" s="12"/>
      <c r="L59" s="10"/>
      <c r="M59" s="90"/>
      <c r="N59" s="90"/>
      <c r="O59" s="115"/>
    </row>
    <row r="60" spans="2:15" ht="16.899999999999999" customHeight="1" x14ac:dyDescent="0.15">
      <c r="B60" s="105"/>
      <c r="C60" s="113"/>
      <c r="D60" s="36" t="s">
        <v>131</v>
      </c>
      <c r="E60" s="36" t="s">
        <v>19</v>
      </c>
      <c r="F60" s="36">
        <v>4</v>
      </c>
      <c r="G60" s="38">
        <v>4</v>
      </c>
      <c r="H60" s="8"/>
      <c r="I60" s="12"/>
      <c r="J60" s="8"/>
      <c r="K60" s="12"/>
      <c r="L60" s="10"/>
      <c r="M60" s="90"/>
      <c r="N60" s="90"/>
      <c r="O60" s="115"/>
    </row>
    <row r="61" spans="2:15" ht="16.899999999999999" customHeight="1" x14ac:dyDescent="0.15">
      <c r="B61" s="105"/>
      <c r="C61" s="62" t="s">
        <v>26</v>
      </c>
      <c r="D61" s="40" t="s">
        <v>27</v>
      </c>
      <c r="E61" s="40" t="s">
        <v>18</v>
      </c>
      <c r="F61" s="41">
        <v>4</v>
      </c>
      <c r="G61" s="32">
        <v>3</v>
      </c>
      <c r="H61" s="8"/>
      <c r="I61" s="12"/>
      <c r="J61" s="50" t="s">
        <v>118</v>
      </c>
      <c r="K61" s="12"/>
      <c r="L61" s="10"/>
      <c r="M61" s="22"/>
      <c r="N61" s="56">
        <v>12</v>
      </c>
      <c r="O61" s="115"/>
    </row>
    <row r="62" spans="2:15" ht="16.899999999999999" customHeight="1" x14ac:dyDescent="0.15">
      <c r="B62" s="105"/>
      <c r="C62" s="63"/>
      <c r="D62" s="40" t="s">
        <v>28</v>
      </c>
      <c r="E62" s="40" t="s">
        <v>18</v>
      </c>
      <c r="F62" s="41">
        <v>4</v>
      </c>
      <c r="G62" s="32">
        <v>3</v>
      </c>
      <c r="H62" s="8"/>
      <c r="I62" s="12"/>
      <c r="J62" s="119"/>
      <c r="K62" s="12"/>
      <c r="L62" s="10"/>
      <c r="M62" s="22"/>
      <c r="N62" s="68"/>
      <c r="O62" s="115"/>
    </row>
    <row r="63" spans="2:15" ht="16.899999999999999" customHeight="1" x14ac:dyDescent="0.15">
      <c r="B63" s="105"/>
      <c r="C63" s="63"/>
      <c r="D63" s="40" t="s">
        <v>29</v>
      </c>
      <c r="E63" s="40" t="s">
        <v>18</v>
      </c>
      <c r="F63" s="41">
        <v>4</v>
      </c>
      <c r="G63" s="32">
        <v>3</v>
      </c>
      <c r="H63" s="8"/>
      <c r="I63" s="12"/>
      <c r="J63" s="119"/>
      <c r="K63" s="12"/>
      <c r="L63" s="10"/>
      <c r="M63" s="22"/>
      <c r="N63" s="68"/>
      <c r="O63" s="115"/>
    </row>
    <row r="64" spans="2:15" ht="16.899999999999999" customHeight="1" x14ac:dyDescent="0.15">
      <c r="B64" s="105"/>
      <c r="C64" s="64"/>
      <c r="D64" s="40" t="s">
        <v>30</v>
      </c>
      <c r="E64" s="40" t="s">
        <v>18</v>
      </c>
      <c r="F64" s="41">
        <v>4</v>
      </c>
      <c r="G64" s="32">
        <v>3</v>
      </c>
      <c r="H64" s="8"/>
      <c r="I64" s="12"/>
      <c r="J64" s="119"/>
      <c r="K64" s="12"/>
      <c r="L64" s="10"/>
      <c r="M64" s="22"/>
      <c r="N64" s="68"/>
      <c r="O64" s="115"/>
    </row>
    <row r="65" spans="2:15" ht="16.899999999999999" customHeight="1" x14ac:dyDescent="0.15">
      <c r="B65" s="105"/>
      <c r="C65" s="62" t="s">
        <v>65</v>
      </c>
      <c r="D65" s="40" t="s">
        <v>22</v>
      </c>
      <c r="E65" s="40" t="s">
        <v>18</v>
      </c>
      <c r="F65" s="41">
        <v>4</v>
      </c>
      <c r="G65" s="32">
        <v>3</v>
      </c>
      <c r="H65" s="8"/>
      <c r="I65" s="12"/>
      <c r="J65" s="119"/>
      <c r="K65" s="12"/>
      <c r="L65" s="10"/>
      <c r="M65" s="22"/>
      <c r="N65" s="68"/>
      <c r="O65" s="115"/>
    </row>
    <row r="66" spans="2:15" ht="16.899999999999999" customHeight="1" x14ac:dyDescent="0.15">
      <c r="B66" s="105"/>
      <c r="C66" s="63"/>
      <c r="D66" s="42" t="s">
        <v>23</v>
      </c>
      <c r="E66" s="40" t="s">
        <v>18</v>
      </c>
      <c r="F66" s="41">
        <v>4</v>
      </c>
      <c r="G66" s="32">
        <v>3</v>
      </c>
      <c r="H66" s="8"/>
      <c r="I66" s="12"/>
      <c r="J66" s="119"/>
      <c r="K66" s="12"/>
      <c r="L66" s="10"/>
      <c r="M66" s="22"/>
      <c r="N66" s="68"/>
      <c r="O66" s="115"/>
    </row>
    <row r="67" spans="2:15" ht="16.899999999999999" customHeight="1" x14ac:dyDescent="0.15">
      <c r="B67" s="105"/>
      <c r="C67" s="63"/>
      <c r="D67" s="42" t="s">
        <v>24</v>
      </c>
      <c r="E67" s="40" t="s">
        <v>18</v>
      </c>
      <c r="F67" s="41">
        <v>4</v>
      </c>
      <c r="G67" s="32">
        <v>3</v>
      </c>
      <c r="H67" s="8"/>
      <c r="I67" s="12"/>
      <c r="J67" s="119"/>
      <c r="K67" s="12"/>
      <c r="L67" s="10"/>
      <c r="M67" s="22"/>
      <c r="N67" s="68"/>
      <c r="O67" s="115"/>
    </row>
    <row r="68" spans="2:15" ht="16.899999999999999" customHeight="1" x14ac:dyDescent="0.15">
      <c r="B68" s="105"/>
      <c r="C68" s="64"/>
      <c r="D68" s="43" t="s">
        <v>25</v>
      </c>
      <c r="E68" s="40" t="s">
        <v>18</v>
      </c>
      <c r="F68" s="41">
        <v>4</v>
      </c>
      <c r="G68" s="32">
        <v>3</v>
      </c>
      <c r="H68" s="8"/>
      <c r="I68" s="12"/>
      <c r="J68" s="120"/>
      <c r="K68" s="12"/>
      <c r="L68" s="10"/>
      <c r="M68" s="22"/>
      <c r="N68" s="69"/>
      <c r="O68" s="115"/>
    </row>
    <row r="69" spans="2:15" ht="16.899999999999999" customHeight="1" x14ac:dyDescent="0.15">
      <c r="B69" s="105"/>
      <c r="C69" s="62" t="s">
        <v>26</v>
      </c>
      <c r="D69" s="43" t="s">
        <v>36</v>
      </c>
      <c r="E69" s="42" t="s">
        <v>19</v>
      </c>
      <c r="F69" s="41">
        <v>4</v>
      </c>
      <c r="G69" s="32">
        <v>3</v>
      </c>
      <c r="H69" s="8"/>
      <c r="I69" s="12"/>
      <c r="J69" s="8"/>
      <c r="K69" s="121" t="s">
        <v>117</v>
      </c>
      <c r="L69" s="10"/>
      <c r="M69" s="22"/>
      <c r="N69" s="56">
        <v>9</v>
      </c>
      <c r="O69" s="115"/>
    </row>
    <row r="70" spans="2:15" ht="16.899999999999999" customHeight="1" x14ac:dyDescent="0.15">
      <c r="B70" s="105"/>
      <c r="C70" s="63"/>
      <c r="D70" s="43" t="s">
        <v>48</v>
      </c>
      <c r="E70" s="42" t="s">
        <v>19</v>
      </c>
      <c r="F70" s="41">
        <v>4</v>
      </c>
      <c r="G70" s="32">
        <v>3</v>
      </c>
      <c r="H70" s="8"/>
      <c r="I70" s="12"/>
      <c r="J70" s="8"/>
      <c r="K70" s="48"/>
      <c r="L70" s="10"/>
      <c r="M70" s="22"/>
      <c r="N70" s="68"/>
      <c r="O70" s="115"/>
    </row>
    <row r="71" spans="2:15" ht="16.899999999999999" customHeight="1" x14ac:dyDescent="0.15">
      <c r="B71" s="105"/>
      <c r="C71" s="63"/>
      <c r="D71" s="43" t="s">
        <v>37</v>
      </c>
      <c r="E71" s="42" t="s">
        <v>19</v>
      </c>
      <c r="F71" s="41">
        <v>4</v>
      </c>
      <c r="G71" s="32">
        <v>3</v>
      </c>
      <c r="H71" s="8"/>
      <c r="I71" s="12"/>
      <c r="J71" s="8"/>
      <c r="K71" s="48"/>
      <c r="L71" s="10"/>
      <c r="M71" s="22"/>
      <c r="N71" s="68"/>
      <c r="O71" s="115"/>
    </row>
    <row r="72" spans="2:15" ht="16.899999999999999" customHeight="1" x14ac:dyDescent="0.15">
      <c r="B72" s="105"/>
      <c r="C72" s="63"/>
      <c r="D72" s="43" t="s">
        <v>49</v>
      </c>
      <c r="E72" s="42" t="s">
        <v>19</v>
      </c>
      <c r="F72" s="41">
        <v>4</v>
      </c>
      <c r="G72" s="32">
        <v>3</v>
      </c>
      <c r="H72" s="8"/>
      <c r="I72" s="12"/>
      <c r="J72" s="8"/>
      <c r="K72" s="48"/>
      <c r="L72" s="10"/>
      <c r="M72" s="22"/>
      <c r="N72" s="68"/>
      <c r="O72" s="115"/>
    </row>
    <row r="73" spans="2:15" ht="16.899999999999999" customHeight="1" x14ac:dyDescent="0.15">
      <c r="B73" s="105"/>
      <c r="C73" s="63"/>
      <c r="D73" s="44" t="s">
        <v>38</v>
      </c>
      <c r="E73" s="42" t="s">
        <v>19</v>
      </c>
      <c r="F73" s="41">
        <v>4</v>
      </c>
      <c r="G73" s="32">
        <v>3</v>
      </c>
      <c r="H73" s="8"/>
      <c r="I73" s="12"/>
      <c r="J73" s="8"/>
      <c r="K73" s="48"/>
      <c r="L73" s="10"/>
      <c r="M73" s="22"/>
      <c r="N73" s="68"/>
      <c r="O73" s="115"/>
    </row>
    <row r="74" spans="2:15" ht="16.899999999999999" customHeight="1" x14ac:dyDescent="0.15">
      <c r="B74" s="105"/>
      <c r="C74" s="63"/>
      <c r="D74" s="44" t="s">
        <v>50</v>
      </c>
      <c r="E74" s="42" t="s">
        <v>19</v>
      </c>
      <c r="F74" s="41">
        <v>4</v>
      </c>
      <c r="G74" s="32">
        <v>3</v>
      </c>
      <c r="H74" s="8"/>
      <c r="I74" s="12"/>
      <c r="J74" s="8"/>
      <c r="K74" s="48"/>
      <c r="L74" s="10"/>
      <c r="M74" s="22"/>
      <c r="N74" s="68"/>
      <c r="O74" s="115"/>
    </row>
    <row r="75" spans="2:15" ht="16.899999999999999" customHeight="1" x14ac:dyDescent="0.15">
      <c r="B75" s="105"/>
      <c r="C75" s="63" t="s">
        <v>119</v>
      </c>
      <c r="D75" s="44" t="s">
        <v>44</v>
      </c>
      <c r="E75" s="44" t="s">
        <v>19</v>
      </c>
      <c r="F75" s="41">
        <v>4</v>
      </c>
      <c r="G75" s="32">
        <v>3</v>
      </c>
      <c r="H75" s="8"/>
      <c r="I75" s="12"/>
      <c r="J75" s="8"/>
      <c r="K75" s="48"/>
      <c r="L75" s="10"/>
      <c r="M75" s="22"/>
      <c r="N75" s="68"/>
      <c r="O75" s="115"/>
    </row>
    <row r="76" spans="2:15" ht="16.899999999999999" customHeight="1" x14ac:dyDescent="0.15">
      <c r="B76" s="105"/>
      <c r="C76" s="63"/>
      <c r="D76" s="44" t="s">
        <v>32</v>
      </c>
      <c r="E76" s="44" t="s">
        <v>19</v>
      </c>
      <c r="F76" s="41">
        <v>4</v>
      </c>
      <c r="G76" s="32">
        <v>3</v>
      </c>
      <c r="H76" s="8"/>
      <c r="I76" s="12"/>
      <c r="J76" s="8"/>
      <c r="K76" s="48"/>
      <c r="L76" s="10"/>
      <c r="M76" s="22"/>
      <c r="N76" s="68"/>
      <c r="O76" s="115"/>
    </row>
    <row r="77" spans="2:15" ht="16.899999999999999" customHeight="1" x14ac:dyDescent="0.15">
      <c r="B77" s="105"/>
      <c r="C77" s="63"/>
      <c r="D77" s="44" t="s">
        <v>46</v>
      </c>
      <c r="E77" s="44" t="s">
        <v>19</v>
      </c>
      <c r="F77" s="41">
        <v>4</v>
      </c>
      <c r="G77" s="32">
        <v>3</v>
      </c>
      <c r="H77" s="8"/>
      <c r="I77" s="12"/>
      <c r="J77" s="8"/>
      <c r="K77" s="48"/>
      <c r="L77" s="10"/>
      <c r="M77" s="22"/>
      <c r="N77" s="68"/>
      <c r="O77" s="115"/>
    </row>
    <row r="78" spans="2:15" ht="16.899999999999999" customHeight="1" x14ac:dyDescent="0.15">
      <c r="B78" s="105"/>
      <c r="C78" s="64"/>
      <c r="D78" s="44" t="s">
        <v>47</v>
      </c>
      <c r="E78" s="44" t="s">
        <v>19</v>
      </c>
      <c r="F78" s="41">
        <v>4</v>
      </c>
      <c r="G78" s="32">
        <v>3</v>
      </c>
      <c r="H78" s="27"/>
      <c r="I78" s="12"/>
      <c r="J78" s="8"/>
      <c r="K78" s="49"/>
      <c r="L78" s="10"/>
      <c r="M78" s="22"/>
      <c r="N78" s="69"/>
      <c r="O78" s="115"/>
    </row>
    <row r="79" spans="2:15" ht="16.899999999999999" customHeight="1" x14ac:dyDescent="0.15">
      <c r="B79" s="105"/>
      <c r="C79" s="62" t="s">
        <v>26</v>
      </c>
      <c r="D79" s="43" t="s">
        <v>60</v>
      </c>
      <c r="E79" s="42" t="s">
        <v>19</v>
      </c>
      <c r="F79" s="41">
        <v>4</v>
      </c>
      <c r="G79" s="32">
        <v>4</v>
      </c>
      <c r="H79" s="27"/>
      <c r="I79" s="26"/>
      <c r="J79" s="27"/>
      <c r="K79" s="26"/>
      <c r="L79" s="53" t="s">
        <v>116</v>
      </c>
      <c r="M79" s="22"/>
      <c r="N79" s="56">
        <v>8</v>
      </c>
      <c r="O79" s="115"/>
    </row>
    <row r="80" spans="2:15" ht="16.899999999999999" customHeight="1" x14ac:dyDescent="0.15">
      <c r="B80" s="105"/>
      <c r="C80" s="107"/>
      <c r="D80" s="43" t="s">
        <v>61</v>
      </c>
      <c r="E80" s="42" t="s">
        <v>19</v>
      </c>
      <c r="F80" s="41">
        <v>4</v>
      </c>
      <c r="G80" s="32">
        <v>4</v>
      </c>
      <c r="H80" s="27"/>
      <c r="I80" s="26"/>
      <c r="J80" s="27"/>
      <c r="K80" s="26"/>
      <c r="L80" s="54"/>
      <c r="M80" s="22"/>
      <c r="N80" s="57"/>
      <c r="O80" s="115"/>
    </row>
    <row r="81" spans="2:15" ht="16.899999999999999" customHeight="1" x14ac:dyDescent="0.15">
      <c r="B81" s="105"/>
      <c r="C81" s="107"/>
      <c r="D81" s="43" t="s">
        <v>101</v>
      </c>
      <c r="E81" s="42" t="s">
        <v>19</v>
      </c>
      <c r="F81" s="41">
        <v>4</v>
      </c>
      <c r="G81" s="32">
        <v>4</v>
      </c>
      <c r="H81" s="27"/>
      <c r="I81" s="26"/>
      <c r="J81" s="27"/>
      <c r="K81" s="26"/>
      <c r="L81" s="54"/>
      <c r="M81" s="22"/>
      <c r="N81" s="57"/>
      <c r="O81" s="115"/>
    </row>
    <row r="82" spans="2:15" ht="16.899999999999999" customHeight="1" x14ac:dyDescent="0.15">
      <c r="B82" s="105"/>
      <c r="C82" s="107"/>
      <c r="D82" s="44" t="s">
        <v>102</v>
      </c>
      <c r="E82" s="42" t="s">
        <v>19</v>
      </c>
      <c r="F82" s="41">
        <v>4</v>
      </c>
      <c r="G82" s="32">
        <v>4</v>
      </c>
      <c r="H82" s="27"/>
      <c r="I82" s="26"/>
      <c r="J82" s="27"/>
      <c r="K82" s="26"/>
      <c r="L82" s="54"/>
      <c r="M82" s="22"/>
      <c r="N82" s="57"/>
      <c r="O82" s="115"/>
    </row>
    <row r="83" spans="2:15" ht="16.899999999999999" customHeight="1" x14ac:dyDescent="0.15">
      <c r="B83" s="105"/>
      <c r="C83" s="107"/>
      <c r="D83" s="43" t="s">
        <v>59</v>
      </c>
      <c r="E83" s="44" t="s">
        <v>20</v>
      </c>
      <c r="F83" s="42">
        <v>4</v>
      </c>
      <c r="G83" s="33">
        <v>4</v>
      </c>
      <c r="H83" s="27"/>
      <c r="I83" s="26"/>
      <c r="J83" s="27"/>
      <c r="K83" s="26"/>
      <c r="L83" s="54"/>
      <c r="M83" s="22"/>
      <c r="N83" s="57"/>
      <c r="O83" s="115"/>
    </row>
    <row r="84" spans="2:15" ht="16.899999999999999" customHeight="1" x14ac:dyDescent="0.15">
      <c r="B84" s="105"/>
      <c r="C84" s="108"/>
      <c r="D84" s="43" t="s">
        <v>105</v>
      </c>
      <c r="E84" s="44" t="s">
        <v>20</v>
      </c>
      <c r="F84" s="42">
        <v>4</v>
      </c>
      <c r="G84" s="33">
        <v>4</v>
      </c>
      <c r="H84" s="27"/>
      <c r="I84" s="26"/>
      <c r="J84" s="27"/>
      <c r="K84" s="26"/>
      <c r="L84" s="54"/>
      <c r="M84" s="22"/>
      <c r="N84" s="57"/>
      <c r="O84" s="115"/>
    </row>
    <row r="85" spans="2:15" ht="16.899999999999999" customHeight="1" x14ac:dyDescent="0.15">
      <c r="B85" s="105"/>
      <c r="C85" s="62" t="s">
        <v>65</v>
      </c>
      <c r="D85" s="44" t="s">
        <v>31</v>
      </c>
      <c r="E85" s="44" t="s">
        <v>19</v>
      </c>
      <c r="F85" s="41">
        <v>4</v>
      </c>
      <c r="G85" s="32">
        <v>4</v>
      </c>
      <c r="H85" s="27"/>
      <c r="I85" s="26"/>
      <c r="J85" s="27"/>
      <c r="K85" s="26"/>
      <c r="L85" s="54"/>
      <c r="M85" s="22"/>
      <c r="N85" s="57"/>
      <c r="O85" s="115"/>
    </row>
    <row r="86" spans="2:15" ht="16.899999999999999" customHeight="1" x14ac:dyDescent="0.15">
      <c r="B86" s="105"/>
      <c r="C86" s="107"/>
      <c r="D86" s="45" t="s">
        <v>45</v>
      </c>
      <c r="E86" s="44" t="s">
        <v>19</v>
      </c>
      <c r="F86" s="41">
        <v>4</v>
      </c>
      <c r="G86" s="32">
        <v>4</v>
      </c>
      <c r="H86" s="27"/>
      <c r="I86" s="26"/>
      <c r="J86" s="27"/>
      <c r="K86" s="26"/>
      <c r="L86" s="54"/>
      <c r="M86" s="22"/>
      <c r="N86" s="57"/>
      <c r="O86" s="115"/>
    </row>
    <row r="87" spans="2:15" ht="16.899999999999999" customHeight="1" x14ac:dyDescent="0.15">
      <c r="B87" s="105"/>
      <c r="C87" s="107"/>
      <c r="D87" s="44" t="s">
        <v>33</v>
      </c>
      <c r="E87" s="44" t="s">
        <v>19</v>
      </c>
      <c r="F87" s="41">
        <v>4</v>
      </c>
      <c r="G87" s="32">
        <v>4</v>
      </c>
      <c r="H87" s="27"/>
      <c r="I87" s="26"/>
      <c r="J87" s="27"/>
      <c r="K87" s="26"/>
      <c r="L87" s="54"/>
      <c r="M87" s="22"/>
      <c r="N87" s="57"/>
      <c r="O87" s="115"/>
    </row>
    <row r="88" spans="2:15" ht="16.899999999999999" customHeight="1" x14ac:dyDescent="0.15">
      <c r="B88" s="105"/>
      <c r="C88" s="107"/>
      <c r="D88" s="44" t="s">
        <v>34</v>
      </c>
      <c r="E88" s="44" t="s">
        <v>19</v>
      </c>
      <c r="F88" s="41">
        <v>4</v>
      </c>
      <c r="G88" s="32">
        <v>4</v>
      </c>
      <c r="H88" s="27"/>
      <c r="I88" s="26"/>
      <c r="J88" s="27"/>
      <c r="K88" s="26"/>
      <c r="L88" s="54"/>
      <c r="M88" s="22"/>
      <c r="N88" s="57"/>
      <c r="O88" s="115"/>
    </row>
    <row r="89" spans="2:15" ht="16.899999999999999" customHeight="1" x14ac:dyDescent="0.15">
      <c r="B89" s="105"/>
      <c r="C89" s="107"/>
      <c r="D89" s="44" t="s">
        <v>35</v>
      </c>
      <c r="E89" s="44" t="s">
        <v>19</v>
      </c>
      <c r="F89" s="41">
        <v>4</v>
      </c>
      <c r="G89" s="32">
        <v>4</v>
      </c>
      <c r="H89" s="27"/>
      <c r="I89" s="26"/>
      <c r="J89" s="27"/>
      <c r="K89" s="26"/>
      <c r="L89" s="54"/>
      <c r="M89" s="22"/>
      <c r="N89" s="57"/>
      <c r="O89" s="115"/>
    </row>
    <row r="90" spans="2:15" ht="16.899999999999999" customHeight="1" x14ac:dyDescent="0.15">
      <c r="B90" s="105"/>
      <c r="C90" s="107"/>
      <c r="D90" s="44" t="s">
        <v>103</v>
      </c>
      <c r="E90" s="44" t="s">
        <v>20</v>
      </c>
      <c r="F90" s="42">
        <v>4</v>
      </c>
      <c r="G90" s="33">
        <v>4</v>
      </c>
      <c r="H90" s="27"/>
      <c r="I90" s="26"/>
      <c r="J90" s="27"/>
      <c r="K90" s="26"/>
      <c r="L90" s="54"/>
      <c r="M90" s="31"/>
      <c r="N90" s="57"/>
      <c r="O90" s="115"/>
    </row>
    <row r="91" spans="2:15" ht="16.899999999999999" customHeight="1" x14ac:dyDescent="0.15">
      <c r="B91" s="105"/>
      <c r="C91" s="108"/>
      <c r="D91" s="44" t="s">
        <v>56</v>
      </c>
      <c r="E91" s="44" t="s">
        <v>20</v>
      </c>
      <c r="F91" s="42">
        <v>4</v>
      </c>
      <c r="G91" s="33">
        <v>4</v>
      </c>
      <c r="H91" s="27"/>
      <c r="I91" s="26"/>
      <c r="J91" s="27"/>
      <c r="K91" s="26"/>
      <c r="L91" s="55"/>
      <c r="M91" s="22"/>
      <c r="N91" s="58"/>
      <c r="O91" s="115"/>
    </row>
    <row r="92" spans="2:15" ht="16.899999999999999" customHeight="1" x14ac:dyDescent="0.15">
      <c r="B92" s="105"/>
      <c r="C92" s="63" t="s">
        <v>144</v>
      </c>
      <c r="D92" s="44" t="s">
        <v>55</v>
      </c>
      <c r="E92" s="44" t="s">
        <v>20</v>
      </c>
      <c r="F92" s="42">
        <v>4</v>
      </c>
      <c r="G92" s="33">
        <v>4</v>
      </c>
      <c r="H92" s="27"/>
      <c r="I92" s="12"/>
      <c r="J92" s="27"/>
      <c r="K92" s="12"/>
      <c r="L92" s="10"/>
      <c r="M92" s="65" t="s">
        <v>116</v>
      </c>
      <c r="N92" s="67">
        <v>8</v>
      </c>
      <c r="O92" s="115"/>
    </row>
    <row r="93" spans="2:15" ht="16.899999999999999" customHeight="1" x14ac:dyDescent="0.15">
      <c r="B93" s="105"/>
      <c r="C93" s="63"/>
      <c r="D93" s="44" t="s">
        <v>57</v>
      </c>
      <c r="E93" s="44" t="s">
        <v>20</v>
      </c>
      <c r="F93" s="42">
        <v>4</v>
      </c>
      <c r="G93" s="33">
        <v>4</v>
      </c>
      <c r="H93" s="8"/>
      <c r="I93" s="12"/>
      <c r="J93" s="8"/>
      <c r="K93" s="12"/>
      <c r="L93" s="10"/>
      <c r="M93" s="65"/>
      <c r="N93" s="68"/>
      <c r="O93" s="115"/>
    </row>
    <row r="94" spans="2:15" ht="16.899999999999999" customHeight="1" x14ac:dyDescent="0.15">
      <c r="B94" s="105"/>
      <c r="C94" s="64"/>
      <c r="D94" s="44" t="s">
        <v>104</v>
      </c>
      <c r="E94" s="44" t="s">
        <v>20</v>
      </c>
      <c r="F94" s="42">
        <v>4</v>
      </c>
      <c r="G94" s="33">
        <v>4</v>
      </c>
      <c r="H94" s="8"/>
      <c r="I94" s="12"/>
      <c r="J94" s="8"/>
      <c r="K94" s="12"/>
      <c r="L94" s="10"/>
      <c r="M94" s="65"/>
      <c r="N94" s="68"/>
      <c r="O94" s="115"/>
    </row>
    <row r="95" spans="2:15" ht="16.899999999999999" customHeight="1" x14ac:dyDescent="0.15">
      <c r="B95" s="105"/>
      <c r="C95" s="46" t="s">
        <v>26</v>
      </c>
      <c r="D95" s="44" t="s">
        <v>58</v>
      </c>
      <c r="E95" s="44" t="s">
        <v>20</v>
      </c>
      <c r="F95" s="42">
        <v>4</v>
      </c>
      <c r="G95" s="33">
        <v>4</v>
      </c>
      <c r="H95" s="8"/>
      <c r="I95" s="12"/>
      <c r="J95" s="8"/>
      <c r="K95" s="12"/>
      <c r="L95" s="10"/>
      <c r="M95" s="66"/>
      <c r="N95" s="69"/>
      <c r="O95" s="115"/>
    </row>
    <row r="96" spans="2:15" ht="16.899999999999999" customHeight="1" x14ac:dyDescent="0.15">
      <c r="B96" s="105"/>
      <c r="C96" s="62" t="s">
        <v>109</v>
      </c>
      <c r="D96" s="44" t="s">
        <v>51</v>
      </c>
      <c r="E96" s="44" t="s">
        <v>19</v>
      </c>
      <c r="F96" s="42">
        <v>4</v>
      </c>
      <c r="G96" s="33">
        <v>3</v>
      </c>
      <c r="H96" s="8"/>
      <c r="I96" s="22"/>
      <c r="J96" s="53" t="s">
        <v>140</v>
      </c>
      <c r="K96" s="22"/>
      <c r="L96" s="10"/>
      <c r="M96" s="22"/>
      <c r="N96" s="56">
        <v>10</v>
      </c>
      <c r="O96" s="115"/>
    </row>
    <row r="97" spans="2:19" ht="16.899999999999999" customHeight="1" x14ac:dyDescent="0.15">
      <c r="B97" s="105"/>
      <c r="C97" s="107"/>
      <c r="D97" s="44" t="s">
        <v>52</v>
      </c>
      <c r="E97" s="44" t="s">
        <v>19</v>
      </c>
      <c r="F97" s="42">
        <v>4</v>
      </c>
      <c r="G97" s="33">
        <v>3</v>
      </c>
      <c r="H97" s="8"/>
      <c r="I97" s="22"/>
      <c r="J97" s="117"/>
      <c r="K97" s="22"/>
      <c r="L97" s="10"/>
      <c r="M97" s="22"/>
      <c r="N97" s="57"/>
      <c r="O97" s="115"/>
    </row>
    <row r="98" spans="2:19" ht="16.899999999999999" customHeight="1" x14ac:dyDescent="0.15">
      <c r="B98" s="105"/>
      <c r="C98" s="107"/>
      <c r="D98" s="44" t="s">
        <v>53</v>
      </c>
      <c r="E98" s="44" t="s">
        <v>19</v>
      </c>
      <c r="F98" s="42">
        <v>4</v>
      </c>
      <c r="G98" s="33">
        <v>3</v>
      </c>
      <c r="H98" s="8"/>
      <c r="I98" s="22"/>
      <c r="J98" s="117"/>
      <c r="K98" s="22"/>
      <c r="L98" s="10"/>
      <c r="M98" s="22"/>
      <c r="N98" s="57"/>
      <c r="O98" s="115"/>
    </row>
    <row r="99" spans="2:19" ht="16.899999999999999" customHeight="1" x14ac:dyDescent="0.15">
      <c r="B99" s="105"/>
      <c r="C99" s="108"/>
      <c r="D99" s="44" t="s">
        <v>62</v>
      </c>
      <c r="E99" s="44" t="s">
        <v>20</v>
      </c>
      <c r="F99" s="42">
        <v>4</v>
      </c>
      <c r="G99" s="33">
        <v>3</v>
      </c>
      <c r="H99" s="8"/>
      <c r="I99" s="22"/>
      <c r="J99" s="118"/>
      <c r="K99" s="22"/>
      <c r="L99" s="10"/>
      <c r="M99" s="22"/>
      <c r="N99" s="57"/>
      <c r="O99" s="115"/>
    </row>
    <row r="100" spans="2:19" ht="16.899999999999999" customHeight="1" x14ac:dyDescent="0.15">
      <c r="B100" s="105"/>
      <c r="C100" s="62" t="s">
        <v>21</v>
      </c>
      <c r="D100" s="44" t="s">
        <v>108</v>
      </c>
      <c r="E100" s="44" t="s">
        <v>19</v>
      </c>
      <c r="F100" s="42">
        <v>3</v>
      </c>
      <c r="G100" s="33">
        <v>4</v>
      </c>
      <c r="H100" s="8"/>
      <c r="I100" s="12"/>
      <c r="J100" s="8"/>
      <c r="K100" s="12"/>
      <c r="L100" s="10"/>
      <c r="M100" s="70" t="s">
        <v>127</v>
      </c>
      <c r="N100" s="57"/>
      <c r="O100" s="115"/>
    </row>
    <row r="101" spans="2:19" ht="16.899999999999999" customHeight="1" x14ac:dyDescent="0.15">
      <c r="B101" s="105"/>
      <c r="C101" s="63"/>
      <c r="D101" s="44" t="s">
        <v>106</v>
      </c>
      <c r="E101" s="44" t="s">
        <v>19</v>
      </c>
      <c r="F101" s="42">
        <v>3</v>
      </c>
      <c r="G101" s="33">
        <v>4</v>
      </c>
      <c r="H101" s="27"/>
      <c r="I101" s="12"/>
      <c r="J101" s="27"/>
      <c r="K101" s="12"/>
      <c r="L101" s="10"/>
      <c r="M101" s="70"/>
      <c r="N101" s="57"/>
      <c r="O101" s="115"/>
    </row>
    <row r="102" spans="2:19" ht="16.899999999999999" customHeight="1" x14ac:dyDescent="0.15">
      <c r="B102" s="105"/>
      <c r="C102" s="63"/>
      <c r="D102" s="44" t="s">
        <v>107</v>
      </c>
      <c r="E102" s="44" t="s">
        <v>20</v>
      </c>
      <c r="F102" s="42">
        <v>3</v>
      </c>
      <c r="G102" s="33">
        <v>3</v>
      </c>
      <c r="H102" s="27"/>
      <c r="I102" s="26"/>
      <c r="J102" s="27"/>
      <c r="K102" s="26"/>
      <c r="L102" s="10"/>
      <c r="M102" s="70" t="s">
        <v>140</v>
      </c>
      <c r="N102" s="57"/>
      <c r="O102" s="115"/>
    </row>
    <row r="103" spans="2:19" ht="16.899999999999999" customHeight="1" x14ac:dyDescent="0.15">
      <c r="B103" s="106"/>
      <c r="C103" s="64"/>
      <c r="D103" s="44" t="s">
        <v>63</v>
      </c>
      <c r="E103" s="44" t="s">
        <v>20</v>
      </c>
      <c r="F103" s="42">
        <v>3</v>
      </c>
      <c r="G103" s="33">
        <v>3</v>
      </c>
      <c r="H103" s="27"/>
      <c r="I103" s="26"/>
      <c r="J103" s="27"/>
      <c r="K103" s="26"/>
      <c r="L103" s="10"/>
      <c r="M103" s="71"/>
      <c r="N103" s="58"/>
      <c r="O103" s="116"/>
    </row>
    <row r="104" spans="2:19" ht="17.25" customHeight="1" x14ac:dyDescent="0.15">
      <c r="B104" s="59" t="s">
        <v>148</v>
      </c>
      <c r="C104" s="72"/>
      <c r="D104" s="72"/>
      <c r="E104" s="72"/>
      <c r="F104" s="72"/>
      <c r="G104" s="72"/>
      <c r="H104" s="5">
        <v>0</v>
      </c>
      <c r="I104" s="16">
        <v>4</v>
      </c>
      <c r="J104" s="5">
        <v>15</v>
      </c>
      <c r="K104" s="16">
        <v>14</v>
      </c>
      <c r="L104" s="5">
        <v>16</v>
      </c>
      <c r="M104" s="16">
        <v>23</v>
      </c>
      <c r="N104" s="16">
        <f>SUM(H104:M104)</f>
        <v>72</v>
      </c>
      <c r="O104" s="3"/>
      <c r="S104" s="2"/>
    </row>
    <row r="105" spans="2:19" ht="17.25" customHeight="1" x14ac:dyDescent="0.15">
      <c r="B105" s="59" t="s">
        <v>10</v>
      </c>
      <c r="C105" s="72"/>
      <c r="D105" s="72"/>
      <c r="E105" s="72"/>
      <c r="F105" s="72"/>
      <c r="G105" s="72"/>
      <c r="H105" s="5">
        <f t="shared" ref="H105:M105" si="1">H41+H104</f>
        <v>31</v>
      </c>
      <c r="I105" s="5">
        <f t="shared" si="1"/>
        <v>30</v>
      </c>
      <c r="J105" s="26">
        <f t="shared" si="1"/>
        <v>31</v>
      </c>
      <c r="K105" s="5">
        <f t="shared" si="1"/>
        <v>30</v>
      </c>
      <c r="L105" s="5">
        <f t="shared" si="1"/>
        <v>26</v>
      </c>
      <c r="M105" s="5">
        <f t="shared" si="1"/>
        <v>26</v>
      </c>
      <c r="N105" s="12">
        <f>SUM(H105:M105)</f>
        <v>174</v>
      </c>
      <c r="O105" s="3"/>
      <c r="S105" s="2"/>
    </row>
    <row r="106" spans="2:19" ht="17.25" customHeight="1" x14ac:dyDescent="0.15">
      <c r="B106" s="59" t="s">
        <v>17</v>
      </c>
      <c r="C106" s="60"/>
      <c r="D106" s="60"/>
      <c r="E106" s="60"/>
      <c r="F106" s="60"/>
      <c r="G106" s="61"/>
      <c r="H106" s="24">
        <v>11</v>
      </c>
      <c r="I106" s="24">
        <v>11</v>
      </c>
      <c r="J106" s="26">
        <v>10</v>
      </c>
      <c r="K106" s="24">
        <v>9</v>
      </c>
      <c r="L106" s="24">
        <v>7</v>
      </c>
      <c r="M106" s="24">
        <v>8</v>
      </c>
      <c r="N106" s="24">
        <f>SUM(H106:M106)</f>
        <v>56</v>
      </c>
      <c r="O106" s="3"/>
      <c r="S106" s="2"/>
    </row>
    <row r="107" spans="2:19" ht="17.25" customHeight="1" x14ac:dyDescent="0.15">
      <c r="B107" s="99" t="s">
        <v>15</v>
      </c>
      <c r="C107" s="100"/>
      <c r="D107" s="100"/>
      <c r="E107" s="100"/>
      <c r="F107" s="100"/>
      <c r="G107" s="100"/>
      <c r="H107" s="25">
        <v>3</v>
      </c>
      <c r="I107" s="25">
        <v>3</v>
      </c>
      <c r="J107" s="25">
        <v>3</v>
      </c>
      <c r="K107" s="25">
        <v>3</v>
      </c>
      <c r="L107" s="25">
        <v>3</v>
      </c>
      <c r="M107" s="25">
        <v>3</v>
      </c>
      <c r="N107" s="25">
        <f>SUM(H107:M107)</f>
        <v>18</v>
      </c>
      <c r="O107" s="3"/>
      <c r="S107" s="2"/>
    </row>
    <row r="108" spans="2:19" ht="17.25" customHeight="1" thickBot="1" x14ac:dyDescent="0.2">
      <c r="B108" s="101" t="s">
        <v>16</v>
      </c>
      <c r="C108" s="102"/>
      <c r="D108" s="102"/>
      <c r="E108" s="102"/>
      <c r="F108" s="102"/>
      <c r="G108" s="103"/>
      <c r="H108" s="4">
        <v>34</v>
      </c>
      <c r="I108" s="4">
        <v>33</v>
      </c>
      <c r="J108" s="4">
        <v>34</v>
      </c>
      <c r="K108" s="4">
        <v>33</v>
      </c>
      <c r="L108" s="4">
        <v>29</v>
      </c>
      <c r="M108" s="4">
        <v>29</v>
      </c>
      <c r="N108" s="4">
        <v>192</v>
      </c>
      <c r="O108" s="11"/>
    </row>
  </sheetData>
  <mergeCells count="88">
    <mergeCell ref="O42:O103"/>
    <mergeCell ref="N79:N91"/>
    <mergeCell ref="B104:G104"/>
    <mergeCell ref="J96:J99"/>
    <mergeCell ref="K46:K48"/>
    <mergeCell ref="N55:N60"/>
    <mergeCell ref="M55:M60"/>
    <mergeCell ref="N46:N48"/>
    <mergeCell ref="J61:J68"/>
    <mergeCell ref="N61:N68"/>
    <mergeCell ref="C69:C74"/>
    <mergeCell ref="K69:K78"/>
    <mergeCell ref="N69:N78"/>
    <mergeCell ref="C75:C78"/>
    <mergeCell ref="B107:G107"/>
    <mergeCell ref="B108:G108"/>
    <mergeCell ref="B42:B103"/>
    <mergeCell ref="C96:C99"/>
    <mergeCell ref="C79:C84"/>
    <mergeCell ref="C85:C91"/>
    <mergeCell ref="C44:C45"/>
    <mergeCell ref="C46:C48"/>
    <mergeCell ref="C50:C52"/>
    <mergeCell ref="C55:C56"/>
    <mergeCell ref="C59:C60"/>
    <mergeCell ref="C57:C58"/>
    <mergeCell ref="C61:C64"/>
    <mergeCell ref="C65:C68"/>
    <mergeCell ref="C53:C54"/>
    <mergeCell ref="C41:G41"/>
    <mergeCell ref="C42:C43"/>
    <mergeCell ref="I42:I45"/>
    <mergeCell ref="N28:N33"/>
    <mergeCell ref="N42:N45"/>
    <mergeCell ref="C34:C38"/>
    <mergeCell ref="N34:N38"/>
    <mergeCell ref="O34:O38"/>
    <mergeCell ref="B5:B40"/>
    <mergeCell ref="C5:C9"/>
    <mergeCell ref="N5:N9"/>
    <mergeCell ref="O5:O9"/>
    <mergeCell ref="C10:C14"/>
    <mergeCell ref="N10:N14"/>
    <mergeCell ref="O10:O14"/>
    <mergeCell ref="C15:C19"/>
    <mergeCell ref="N15:N19"/>
    <mergeCell ref="O15:O19"/>
    <mergeCell ref="C20:C23"/>
    <mergeCell ref="N20:N21"/>
    <mergeCell ref="C39:C40"/>
    <mergeCell ref="O20:O21"/>
    <mergeCell ref="N22:N23"/>
    <mergeCell ref="O22:O23"/>
    <mergeCell ref="C28:C33"/>
    <mergeCell ref="L3:L4"/>
    <mergeCell ref="M3:M4"/>
    <mergeCell ref="C24:C27"/>
    <mergeCell ref="N24:N27"/>
    <mergeCell ref="O24:O27"/>
    <mergeCell ref="O28:O33"/>
    <mergeCell ref="B1:O1"/>
    <mergeCell ref="B2:B4"/>
    <mergeCell ref="C2:C4"/>
    <mergeCell ref="D2:D4"/>
    <mergeCell ref="E2:E4"/>
    <mergeCell ref="F2:F4"/>
    <mergeCell ref="G2:G4"/>
    <mergeCell ref="H2:I2"/>
    <mergeCell ref="J2:K2"/>
    <mergeCell ref="L2:M2"/>
    <mergeCell ref="N2:N4"/>
    <mergeCell ref="O2:O4"/>
    <mergeCell ref="H3:H4"/>
    <mergeCell ref="I3:I4"/>
    <mergeCell ref="J3:J4"/>
    <mergeCell ref="K3:K4"/>
    <mergeCell ref="N49:N54"/>
    <mergeCell ref="L49:L54"/>
    <mergeCell ref="L79:L91"/>
    <mergeCell ref="N96:N103"/>
    <mergeCell ref="B106:G106"/>
    <mergeCell ref="C100:C103"/>
    <mergeCell ref="C92:C94"/>
    <mergeCell ref="M92:M95"/>
    <mergeCell ref="N92:N95"/>
    <mergeCell ref="M102:M103"/>
    <mergeCell ref="M100:M101"/>
    <mergeCell ref="B105:G105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Height="0" orientation="portrait" verticalDpi="4294967295" r:id="rId1"/>
  <rowBreaks count="2" manualBreakCount="2">
    <brk id="48" min="1" max="14" man="1"/>
    <brk id="95" min="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일반고-2025학년도 입학생 3개년 교육과정</vt:lpstr>
      <vt:lpstr>'일반고-2025학년도 입학생 3개년 교육과정'!Print_Area</vt:lpstr>
      <vt:lpstr>'일반고-2025학년도 입학생 3개년 교육과정'!Print_Titles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2025-09-10T06:07:53Z</cp:lastPrinted>
  <dcterms:created xsi:type="dcterms:W3CDTF">2002-10-10T04:04:10Z</dcterms:created>
  <dcterms:modified xsi:type="dcterms:W3CDTF">2025-10-15T02:12:56Z</dcterms:modified>
  <cp:version>0906.0100.01</cp:version>
</cp:coreProperties>
</file>